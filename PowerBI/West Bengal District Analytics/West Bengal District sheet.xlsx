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C520EAC-E69A-448A-97EA-2DF2E8E7AC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Villages" sheetId="4" r:id="rId2"/>
    <sheet name="Population" sheetId="2" r:id="rId3"/>
    <sheet name="Schools" sheetId="3" r:id="rId4"/>
    <sheet name="Hospital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" i="1"/>
  <c r="L2" i="1" s="1"/>
  <c r="J3" i="1"/>
  <c r="J4" i="1"/>
  <c r="J5" i="1"/>
  <c r="J6" i="1"/>
  <c r="J7" i="1"/>
  <c r="J8" i="1"/>
  <c r="J10" i="1"/>
  <c r="J15" i="1"/>
  <c r="J16" i="1"/>
  <c r="J17" i="1"/>
  <c r="J19" i="1"/>
  <c r="J21" i="1"/>
  <c r="J22" i="1"/>
  <c r="J23" i="1"/>
  <c r="J24" i="1"/>
  <c r="G3" i="1"/>
  <c r="G4" i="1"/>
  <c r="G5" i="1"/>
  <c r="G6" i="1"/>
  <c r="G7" i="1"/>
  <c r="G8" i="1"/>
  <c r="G9" i="1"/>
  <c r="G10" i="1"/>
  <c r="G13" i="1"/>
  <c r="G14" i="1"/>
  <c r="G15" i="1"/>
  <c r="G16" i="1"/>
  <c r="G17" i="1"/>
  <c r="G19" i="1"/>
  <c r="G21" i="1"/>
  <c r="G22" i="1"/>
  <c r="G23" i="1"/>
  <c r="G24" i="1"/>
  <c r="F3" i="1"/>
  <c r="F4" i="1"/>
  <c r="F5" i="1"/>
  <c r="F6" i="1"/>
  <c r="F7" i="1"/>
  <c r="F8" i="1"/>
  <c r="F9" i="1"/>
  <c r="F10" i="1"/>
  <c r="F13" i="1"/>
  <c r="F14" i="1"/>
  <c r="F15" i="1"/>
  <c r="F16" i="1"/>
  <c r="F17" i="1"/>
  <c r="F19" i="1"/>
  <c r="F21" i="1"/>
  <c r="F22" i="1"/>
  <c r="F23" i="1"/>
  <c r="F24" i="1"/>
  <c r="D3" i="1"/>
  <c r="D5" i="1"/>
  <c r="D6" i="1"/>
  <c r="D7" i="1"/>
  <c r="D9" i="1"/>
  <c r="D10" i="1"/>
  <c r="D11" i="1"/>
  <c r="D12" i="1"/>
  <c r="D15" i="1"/>
  <c r="D18" i="1"/>
  <c r="D20" i="1"/>
  <c r="D21" i="1"/>
  <c r="D22" i="1"/>
  <c r="D23" i="1"/>
  <c r="D2" i="1"/>
  <c r="C3" i="2"/>
  <c r="C6" i="2"/>
  <c r="D4" i="1" s="1"/>
  <c r="C7" i="2"/>
  <c r="C8" i="2"/>
  <c r="C9" i="2"/>
  <c r="C10" i="2"/>
  <c r="D8" i="1" s="1"/>
  <c r="C11" i="2"/>
  <c r="C12" i="2"/>
  <c r="C15" i="2"/>
  <c r="D13" i="1" s="1"/>
  <c r="C16" i="2"/>
  <c r="D14" i="1" s="1"/>
  <c r="C17" i="2"/>
  <c r="C18" i="2"/>
  <c r="D16" i="1" s="1"/>
  <c r="C19" i="2"/>
  <c r="D17" i="1" s="1"/>
  <c r="C20" i="2"/>
  <c r="D19" i="1" s="1"/>
  <c r="C21" i="2"/>
  <c r="C22" i="2"/>
  <c r="C23" i="2"/>
  <c r="C24" i="2"/>
  <c r="D24" i="1" s="1"/>
  <c r="M19" i="1"/>
  <c r="M20" i="1"/>
  <c r="M12" i="1"/>
  <c r="M13" i="1"/>
  <c r="M21" i="1"/>
  <c r="M16" i="1"/>
  <c r="M14" i="1"/>
  <c r="M22" i="1"/>
  <c r="M15" i="1"/>
  <c r="M23" i="1"/>
  <c r="M10" i="1"/>
  <c r="I4" i="1" l="1"/>
  <c r="E4" i="1"/>
  <c r="I8" i="1"/>
  <c r="E8" i="1"/>
  <c r="I24" i="1"/>
  <c r="E24" i="1"/>
  <c r="I16" i="1"/>
  <c r="E16" i="1"/>
  <c r="I14" i="1"/>
  <c r="E14" i="1"/>
  <c r="I19" i="1"/>
  <c r="E19" i="1"/>
  <c r="I17" i="1"/>
  <c r="E17" i="1"/>
  <c r="I13" i="1"/>
  <c r="E13" i="1"/>
  <c r="I23" i="1"/>
  <c r="E23" i="1"/>
  <c r="I20" i="1"/>
  <c r="E20" i="1"/>
  <c r="I18" i="1"/>
  <c r="E18" i="1"/>
  <c r="I2" i="1"/>
  <c r="E2" i="1"/>
  <c r="I22" i="1"/>
  <c r="E22" i="1"/>
  <c r="I21" i="1"/>
  <c r="E21" i="1"/>
  <c r="I15" i="1"/>
  <c r="E15" i="1"/>
  <c r="I3" i="1"/>
  <c r="E3" i="1"/>
  <c r="I12" i="1"/>
  <c r="E12" i="1"/>
  <c r="I11" i="1"/>
  <c r="E11" i="1"/>
  <c r="I7" i="1"/>
  <c r="E7" i="1"/>
  <c r="I10" i="1"/>
  <c r="E10" i="1"/>
  <c r="I5" i="1"/>
  <c r="E5" i="1"/>
  <c r="I9" i="1"/>
  <c r="E9" i="1"/>
  <c r="I6" i="1"/>
  <c r="E6" i="1"/>
  <c r="N7" i="1"/>
  <c r="N6" i="1"/>
  <c r="N5" i="1"/>
  <c r="N4" i="1"/>
  <c r="N11" i="1"/>
  <c r="N3" i="1"/>
  <c r="N18" i="1"/>
  <c r="N2" i="1"/>
  <c r="N23" i="1"/>
  <c r="N15" i="1"/>
  <c r="N22" i="1"/>
  <c r="N14" i="1"/>
  <c r="N9" i="1"/>
  <c r="N8" i="1"/>
  <c r="N21" i="1"/>
  <c r="N13" i="1"/>
  <c r="N17" i="1"/>
  <c r="N16" i="1"/>
  <c r="N20" i="1"/>
  <c r="N12" i="1"/>
  <c r="N10" i="1"/>
  <c r="N24" i="1"/>
  <c r="N19" i="1"/>
  <c r="M5" i="1"/>
  <c r="M18" i="1"/>
  <c r="M8" i="1"/>
  <c r="M17" i="1"/>
  <c r="M11" i="1"/>
  <c r="M3" i="1"/>
  <c r="M7" i="1"/>
  <c r="M4" i="1"/>
  <c r="M6" i="1"/>
  <c r="M2" i="1"/>
  <c r="M9" i="1"/>
  <c r="M24" i="1"/>
</calcChain>
</file>

<file path=xl/sharedStrings.xml><?xml version="1.0" encoding="utf-8"?>
<sst xmlns="http://schemas.openxmlformats.org/spreadsheetml/2006/main" count="167" uniqueCount="92">
  <si>
    <t>Serial No</t>
  </si>
  <si>
    <t>District Name</t>
  </si>
  <si>
    <t xml:space="preserve">District Headquater </t>
  </si>
  <si>
    <t>Population</t>
  </si>
  <si>
    <t>Male population</t>
  </si>
  <si>
    <t>Female Population</t>
  </si>
  <si>
    <t>Population density</t>
  </si>
  <si>
    <t xml:space="preserve">Number of village </t>
  </si>
  <si>
    <t>Number of school</t>
  </si>
  <si>
    <t>Number of college</t>
  </si>
  <si>
    <t>Number of hospital</t>
  </si>
  <si>
    <t>Alipurduar</t>
  </si>
  <si>
    <t>Bankura</t>
  </si>
  <si>
    <t>Birbhum</t>
  </si>
  <si>
    <t>Cooch Behar</t>
  </si>
  <si>
    <t>Dakshin Dinajpur</t>
  </si>
  <si>
    <t>Darjeeling</t>
  </si>
  <si>
    <t>Hooghly</t>
  </si>
  <si>
    <t>Howrah</t>
  </si>
  <si>
    <t>Jalpaiguri</t>
  </si>
  <si>
    <t>Jhargram</t>
  </si>
  <si>
    <t>Kalimpong</t>
  </si>
  <si>
    <t>Kolkata</t>
  </si>
  <si>
    <t>Malda</t>
  </si>
  <si>
    <t>Murshidabad</t>
  </si>
  <si>
    <t>Nadia</t>
  </si>
  <si>
    <t>North 24 Parganas</t>
  </si>
  <si>
    <t>Paschim Bardhaman</t>
  </si>
  <si>
    <t>Paschim Medinipur</t>
  </si>
  <si>
    <t>Purba Bardhaman</t>
  </si>
  <si>
    <t>Purba Medinipur</t>
  </si>
  <si>
    <t>Purulia</t>
  </si>
  <si>
    <t>South 24 Parganas</t>
  </si>
  <si>
    <t>Uttar Dinajpur</t>
  </si>
  <si>
    <t>Suri</t>
  </si>
  <si>
    <t>Balurghat</t>
  </si>
  <si>
    <t>Chinsurah</t>
  </si>
  <si>
    <t>English Bazar</t>
  </si>
  <si>
    <t>Baharampur</t>
  </si>
  <si>
    <t>Krishnanagar</t>
  </si>
  <si>
    <t>Barasat</t>
  </si>
  <si>
    <t>Asansol</t>
  </si>
  <si>
    <t>Medinipur</t>
  </si>
  <si>
    <t>Bardhaman</t>
  </si>
  <si>
    <t>Tamluk</t>
  </si>
  <si>
    <t>Alipore</t>
  </si>
  <si>
    <t>Raiganj</t>
  </si>
  <si>
    <t>District</t>
  </si>
  <si>
    <t>Population (2011)</t>
  </si>
  <si>
    <t>Link 1</t>
  </si>
  <si>
    <t>Link 2</t>
  </si>
  <si>
    <t>Barddhaman</t>
  </si>
  <si>
    <t>Haora</t>
  </si>
  <si>
    <t>Maldah</t>
  </si>
  <si>
    <t>Link 3</t>
  </si>
  <si>
    <t>Female</t>
  </si>
  <si>
    <t>Total</t>
  </si>
  <si>
    <t>PASCHIM BARDHAMAN</t>
  </si>
  <si>
    <t>BIRBHUM</t>
  </si>
  <si>
    <t>PASCHIM MEDINIPUR</t>
  </si>
  <si>
    <t>JHARGRAM</t>
  </si>
  <si>
    <t>UTTAR DINAJPUR</t>
  </si>
  <si>
    <t>ALIPURDUAR</t>
  </si>
  <si>
    <t>SILIGURI</t>
  </si>
  <si>
    <t>MURSHIDABAD</t>
  </si>
  <si>
    <t>NADIA</t>
  </si>
  <si>
    <t>PURBA BARDHAMAN</t>
  </si>
  <si>
    <t>BANKURA</t>
  </si>
  <si>
    <t>DAKSHIN DINAJPUR</t>
  </si>
  <si>
    <t>PURBA MEDINIPUR</t>
  </si>
  <si>
    <t>JALPAIGURI</t>
  </si>
  <si>
    <t>KOLKATA</t>
  </si>
  <si>
    <t>HOWRAH</t>
  </si>
  <si>
    <t>HOOGHLY</t>
  </si>
  <si>
    <t>KALIMPONG</t>
  </si>
  <si>
    <t xml:space="preserve">District </t>
  </si>
  <si>
    <t>Total schools</t>
  </si>
  <si>
    <t xml:space="preserve">Link </t>
  </si>
  <si>
    <t>Link2</t>
  </si>
  <si>
    <t>Link3</t>
  </si>
  <si>
    <t>Link1</t>
  </si>
  <si>
    <t>Village</t>
  </si>
  <si>
    <t>Link4</t>
  </si>
  <si>
    <t>Male</t>
  </si>
  <si>
    <t>NORTH 24 PARGANAS</t>
  </si>
  <si>
    <t>MALDA</t>
  </si>
  <si>
    <t>Area (Km2)</t>
  </si>
  <si>
    <t>Situtation analysis of Districts of West Bengal</t>
  </si>
  <si>
    <t>Project name</t>
  </si>
  <si>
    <t>Section</t>
  </si>
  <si>
    <t>Section2</t>
  </si>
  <si>
    <t>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</si>
</sst>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Ubuntu"/>
    </font>
    <font>
      <sz val="14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1EEF6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rgb="FFCCCACA"/>
      </left>
      <right style="medium">
        <color rgb="FFCCCACA"/>
      </right>
      <top style="medium">
        <color rgb="FFCCCACA"/>
      </top>
      <bottom style="medium">
        <color rgb="FFCCCACA"/>
      </bottom>
      <diagonal/>
    </border>
    <border>
      <left style="medium">
        <color rgb="FFCCCACA"/>
      </left>
      <right style="medium">
        <color rgb="FFCCCACA"/>
      </right>
      <top style="medium">
        <color rgb="FF3BADDD"/>
      </top>
      <bottom style="medium">
        <color rgb="FFCCCACA"/>
      </bottom>
      <diagonal/>
    </border>
    <border>
      <left style="medium">
        <color rgb="FFCCCACA"/>
      </left>
      <right style="medium">
        <color rgb="FF3BADDD"/>
      </right>
      <top style="medium">
        <color rgb="FF3BADDD"/>
      </top>
      <bottom style="medium">
        <color rgb="FFCCCACA"/>
      </bottom>
      <diagonal/>
    </border>
    <border>
      <left style="medium">
        <color rgb="FFCCCACA"/>
      </left>
      <right style="medium">
        <color rgb="FF3BADDD"/>
      </right>
      <top style="medium">
        <color rgb="FFCCCACA"/>
      </top>
      <bottom style="medium">
        <color rgb="FFCCCACA"/>
      </bottom>
      <diagonal/>
    </border>
    <border>
      <left style="medium">
        <color rgb="FFCCCACA"/>
      </left>
      <right style="medium">
        <color rgb="FFCCCACA"/>
      </right>
      <top style="medium">
        <color rgb="FFCCCACA"/>
      </top>
      <bottom style="medium">
        <color rgb="FF3BADDD"/>
      </bottom>
      <diagonal/>
    </border>
    <border>
      <left style="medium">
        <color rgb="FFCCCACA"/>
      </left>
      <right style="medium">
        <color rgb="FF3BADDD"/>
      </right>
      <top style="medium">
        <color rgb="FFCCCACA"/>
      </top>
      <bottom style="medium">
        <color rgb="FF3BADDD"/>
      </bottom>
      <diagonal/>
    </border>
    <border>
      <left/>
      <right style="medium">
        <color rgb="FFCCCCCC"/>
      </right>
      <top/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3" fontId="0" fillId="0" borderId="0" xfId="0" applyNumberFormat="1" applyAlignment="1">
      <alignment vertical="center"/>
    </xf>
    <xf numFmtId="0" fontId="2" fillId="0" borderId="0" xfId="1"/>
    <xf numFmtId="0" fontId="2" fillId="3" borderId="2" xfId="1" applyFill="1" applyBorder="1" applyAlignment="1">
      <alignment horizontal="left" vertical="top"/>
    </xf>
    <xf numFmtId="0" fontId="3" fillId="3" borderId="3" xfId="0" applyFont="1" applyFill="1" applyBorder="1" applyAlignment="1">
      <alignment horizontal="center" vertical="top"/>
    </xf>
    <xf numFmtId="0" fontId="2" fillId="2" borderId="1" xfId="1" applyFill="1" applyBorder="1" applyAlignment="1">
      <alignment horizontal="left" vertical="top"/>
    </xf>
    <xf numFmtId="0" fontId="3" fillId="2" borderId="4" xfId="0" applyFont="1" applyFill="1" applyBorder="1" applyAlignment="1">
      <alignment horizontal="center" vertical="top"/>
    </xf>
    <xf numFmtId="0" fontId="2" fillId="3" borderId="1" xfId="1" applyFill="1" applyBorder="1" applyAlignment="1">
      <alignment horizontal="left" vertical="top"/>
    </xf>
    <xf numFmtId="0" fontId="3" fillId="3" borderId="4" xfId="0" applyFont="1" applyFill="1" applyBorder="1" applyAlignment="1">
      <alignment horizontal="center" vertical="top"/>
    </xf>
    <xf numFmtId="0" fontId="2" fillId="2" borderId="5" xfId="1" applyFill="1" applyBorder="1" applyAlignment="1">
      <alignment horizontal="left" vertical="top"/>
    </xf>
    <xf numFmtId="0" fontId="3" fillId="2" borderId="6" xfId="0" applyFont="1" applyFill="1" applyBorder="1" applyAlignment="1">
      <alignment horizontal="center" vertical="top"/>
    </xf>
    <xf numFmtId="0" fontId="4" fillId="4" borderId="7" xfId="0" applyFont="1" applyFill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4" borderId="8" xfId="1" applyFill="1" applyBorder="1" applyAlignment="1">
      <alignment vertical="center"/>
    </xf>
    <xf numFmtId="0" fontId="2" fillId="0" borderId="7" xfId="1" applyBorder="1" applyAlignment="1">
      <alignment vertical="center"/>
    </xf>
    <xf numFmtId="0" fontId="2" fillId="4" borderId="7" xfId="1" applyFill="1" applyBorder="1" applyAlignment="1">
      <alignment vertical="center"/>
    </xf>
    <xf numFmtId="0" fontId="2" fillId="0" borderId="9" xfId="1" applyBorder="1" applyAlignment="1">
      <alignment vertical="center"/>
    </xf>
    <xf numFmtId="3" fontId="0" fillId="0" borderId="0" xfId="0" applyNumberFormat="1"/>
    <xf numFmtId="0" fontId="1" fillId="5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vlist.in/district/341.html" TargetMode="External"/><Relationship Id="rId13" Type="http://schemas.openxmlformats.org/officeDocument/2006/relationships/hyperlink" Target="https://vlist.in/district/333.html" TargetMode="External"/><Relationship Id="rId18" Type="http://schemas.openxmlformats.org/officeDocument/2006/relationships/hyperlink" Target="https://vlist.in/district/340.html" TargetMode="External"/><Relationship Id="rId3" Type="http://schemas.openxmlformats.org/officeDocument/2006/relationships/hyperlink" Target="https://vlist.in/district/339.html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vlist.in/district/327.html" TargetMode="External"/><Relationship Id="rId12" Type="http://schemas.openxmlformats.org/officeDocument/2006/relationships/hyperlink" Target="https://vlist.in/district/332.html" TargetMode="External"/><Relationship Id="rId17" Type="http://schemas.openxmlformats.org/officeDocument/2006/relationships/hyperlink" Target="https://vlist.in/district/345.html" TargetMode="External"/><Relationship Id="rId2" Type="http://schemas.openxmlformats.org/officeDocument/2006/relationships/hyperlink" Target="https://vill.co.in/west-bengal/" TargetMode="External"/><Relationship Id="rId16" Type="http://schemas.openxmlformats.org/officeDocument/2006/relationships/hyperlink" Target="https://vlist.in/district/344.html" TargetMode="External"/><Relationship Id="rId20" Type="http://schemas.openxmlformats.org/officeDocument/2006/relationships/hyperlink" Target="https://vlist.in/district/330.html" TargetMode="External"/><Relationship Id="rId1" Type="http://schemas.openxmlformats.org/officeDocument/2006/relationships/hyperlink" Target="https://vlist.in/state/19.html" TargetMode="External"/><Relationship Id="rId6" Type="http://schemas.openxmlformats.org/officeDocument/2006/relationships/hyperlink" Target="https://vlist.in/district/331.html" TargetMode="External"/><Relationship Id="rId11" Type="http://schemas.openxmlformats.org/officeDocument/2006/relationships/hyperlink" Target="https://vlist.in/district/329.html" TargetMode="External"/><Relationship Id="rId5" Type="http://schemas.openxmlformats.org/officeDocument/2006/relationships/hyperlink" Target="https://vlist.in/district/334.html" TargetMode="External"/><Relationship Id="rId15" Type="http://schemas.openxmlformats.org/officeDocument/2006/relationships/hyperlink" Target="https://vlist.in/district/337.html" TargetMode="External"/><Relationship Id="rId10" Type="http://schemas.openxmlformats.org/officeDocument/2006/relationships/hyperlink" Target="https://vlist.in/district/328.html" TargetMode="External"/><Relationship Id="rId19" Type="http://schemas.openxmlformats.org/officeDocument/2006/relationships/hyperlink" Target="https://vlist.in/district/343.html" TargetMode="External"/><Relationship Id="rId4" Type="http://schemas.openxmlformats.org/officeDocument/2006/relationships/hyperlink" Target="https://vlist.in/district/335.html" TargetMode="External"/><Relationship Id="rId9" Type="http://schemas.openxmlformats.org/officeDocument/2006/relationships/hyperlink" Target="https://vlist.in/district/338.html" TargetMode="External"/><Relationship Id="rId14" Type="http://schemas.openxmlformats.org/officeDocument/2006/relationships/hyperlink" Target="https://vlist.in/district/336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o5rBsIdRp08?si=iidI8HEI6fZ57E1x" TargetMode="External"/><Relationship Id="rId2" Type="http://schemas.openxmlformats.org/officeDocument/2006/relationships/hyperlink" Target="https://statisticstimes.com/demographics/india/west-bengal-population.php" TargetMode="External"/><Relationship Id="rId1" Type="http://schemas.openxmlformats.org/officeDocument/2006/relationships/hyperlink" Target="https://gscepublications.com/gk/eb8149a0-29ea-4b6b-b3e4-fa03643cc697_GKMaterial.pdf" TargetMode="External"/><Relationship Id="rId4" Type="http://schemas.openxmlformats.org/officeDocument/2006/relationships/hyperlink" Target="https://www.census2011.co.in/census/state/districtlist/west+bengal.html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pmposhan.wb.gov.in/sc_report_blockwise?district_code=7adf2f7441b8fb6c125c34bec771f933c4137f06b7a8aaa70432f67403dc0ba563c21333a874a2ff7feea55ac3f7443b90df00d8ead40991e23c8b026e3d3999MzfrP6Odn%2FIuSuZxsEht9fQzVQ2PHawx7U5km1Ok8BQ%3D" TargetMode="External"/><Relationship Id="rId13" Type="http://schemas.openxmlformats.org/officeDocument/2006/relationships/hyperlink" Target="https://pmposhan.wb.gov.in/sc_report_blockwise?district_code=28b35f5636505ad308513364b5970382a75dfe16e3c92a77ec729b8459fd6a09748eb89ff9bd825462206bdbdd66403585336b96118a59b6ebb16dd9959ff897MqnMw5XrGpdEur37h8oJ04RTxgKig196GrF6FKJC9wg%3D" TargetMode="External"/><Relationship Id="rId18" Type="http://schemas.openxmlformats.org/officeDocument/2006/relationships/hyperlink" Target="https://pmposhan.wb.gov.in/sc_report_blockwise?district_code=7e622cebdb1994aa510355462bd16f0f680a4de1969dc63cd9e46662354de5ba0d81da1d764194232de1c3d84dee6b2623ef24e9a93f4620c67d34bda360c396dvc1M6yWMA7YlO9ib8S9mzkNzDx6qaCaEl0rqePAyuM%3D" TargetMode="External"/><Relationship Id="rId26" Type="http://schemas.openxmlformats.org/officeDocument/2006/relationships/hyperlink" Target="https://wbbpe.wb.gov.in/pages/number_of_school.html" TargetMode="External"/><Relationship Id="rId3" Type="http://schemas.openxmlformats.org/officeDocument/2006/relationships/hyperlink" Target="https://pmposhan.wb.gov.in/sc_report_blockwise?district_code=c25074501460170dff13efc68700b36da42154c9cd82161adc1b1608764b30e077b16098c22326ec648f50dd95df831758b93d760f3afcbf4ff5005c2bbab249TEdf02DSMedYZhFdzLPDBMY6SSpnOu89yrMfxhWaFRs%3D" TargetMode="External"/><Relationship Id="rId21" Type="http://schemas.openxmlformats.org/officeDocument/2006/relationships/hyperlink" Target="https://pmposhan.wb.gov.in/sc_report_blockwise?district_code=4d46ff6f6bbbf0edade2720ac506a0f1e80d723d42f9e89eefa446da796f27798732516348669642c08cd35275a59b0c6059c4a9a7e136a074b5a55afad5b8986veC9jMQF9EYLCNdPRlx6FOz5E31VHF5GwLo0UD%2BwSk%3D" TargetMode="External"/><Relationship Id="rId7" Type="http://schemas.openxmlformats.org/officeDocument/2006/relationships/hyperlink" Target="https://pmposhan.wb.gov.in/sc_report_blockwise?district_code=4184396e97355a7b7fe0c1279a7a8faf3de7233b0bb1aaf00c4e4faf02635bd5218696bc1ef07e60e47c5ddc1749810afea0c755cc311d027e12f66aaa1b091esf21U2iECc8PnxouviES7eN4M6GKgCJUzx%2FhIiUpOB0%3D" TargetMode="External"/><Relationship Id="rId12" Type="http://schemas.openxmlformats.org/officeDocument/2006/relationships/hyperlink" Target="https://pmposhan.wb.gov.in/sc_report_blockwise?district_code=e31d778f77ebc556c47d43b88362bb739ae8a24d4fd34e8dce6fc96be7835f4f677d86957ce8a5aff837f5cf53070052f25308ac761a427085463c1b7eee3155dCNQNkzFEj%2FjmeMaPYSflAaF6olTsRVRNjCsRTjThgE%3D" TargetMode="External"/><Relationship Id="rId17" Type="http://schemas.openxmlformats.org/officeDocument/2006/relationships/hyperlink" Target="https://pmposhan.wb.gov.in/sc_report_blockwise?district_code=c28cd3ef066aeeb17e4297d4bd5b1d8459eb039142efed4873a848fdbd56b186f1fff38488aa9b806e004ea3865d154123182ec423a2b9a2274cc33343adae27C1sPjUq4%2BahD1CgS5dgPI14bwzYRLYkdZSGXSyqDBgc%3D" TargetMode="External"/><Relationship Id="rId25" Type="http://schemas.openxmlformats.org/officeDocument/2006/relationships/hyperlink" Target="https://pmposhan.wb.gov.in/sc_report_districtwise" TargetMode="External"/><Relationship Id="rId2" Type="http://schemas.openxmlformats.org/officeDocument/2006/relationships/hyperlink" Target="https://pmposhan.wb.gov.in/sc_report_blockwise?district_code=8485a91cf5297f765778a93355c3894d457c79249aa2e3375b506b597a7eb4c83b6189f7ebf959ad1714a431dcb4e9205daf168642c695f486d1030a11ff3b7ddT0miOuBtkGQx6WWY9Tx8n1Qi0iD6KJAuGmzmJz0OCA%3D" TargetMode="External"/><Relationship Id="rId16" Type="http://schemas.openxmlformats.org/officeDocument/2006/relationships/hyperlink" Target="https://pmposhan.wb.gov.in/sc_report_blockwise?district_code=ccca8fdb3289b3f23d767ed96f446c350941777471ea0002cbefa622699414c0eaa7991647de035fd88fd96854dc33bdba6f5fb26b2723ad249577277c1fd15f1pbAvEwlShsRP8j7W6bwsQfAdlbPZGNdgDXHMn9k%2BTg%3D" TargetMode="External"/><Relationship Id="rId20" Type="http://schemas.openxmlformats.org/officeDocument/2006/relationships/hyperlink" Target="https://pmposhan.wb.gov.in/sc_report_blockwise?district_code=84772eaefc435c23672687a68f3a0840bd6c187d8143b0949d10eb3fa9d6bed5f1a7993a5cf2ceb1652cc0fcf0734cb3059f779b67155dfdff57cc7cf4f53ad2LBxDYSsrXQUrd1SYsAkzqFVgb%2FtB%2Fhq07f66dDZFxcE%3D" TargetMode="External"/><Relationship Id="rId1" Type="http://schemas.openxmlformats.org/officeDocument/2006/relationships/hyperlink" Target="https://pmposhan.wb.gov.in/sc_report_blockwise?district_code=23bc86f189de7a1bc6d160b14d362f8f9b12d8b34d7b151fdd7b6df204b0f144438f74babc447c8e5dba4253396ea6228f1b534515cbc67d7b67edec1301ef52XiFk1c0xQ5YP4BWwkZZhsjck%2Bz6jX%2FjhYmBW9JEjEps%3D" TargetMode="External"/><Relationship Id="rId6" Type="http://schemas.openxmlformats.org/officeDocument/2006/relationships/hyperlink" Target="https://pmposhan.wb.gov.in/sc_report_blockwise?district_code=1a6f64c573d098d9243b320c1522b573372bc05b38f3fd1bccb2af8839ea39211375994b806fe9baf878a3172804ed9ae7d6c3bfd296e8a6592746f9a8ffa812Gfvd2pJh0SdPx81ubbheum7e17513pabTV4jeZPNsjE%3D" TargetMode="External"/><Relationship Id="rId11" Type="http://schemas.openxmlformats.org/officeDocument/2006/relationships/hyperlink" Target="https://pmposhan.wb.gov.in/sc_report_blockwise?district_code=828dc8fa797472b3ece8c8509bb59366dde86646d5bcfcbfcd3b3c4884d6d14d799af91fb96fe51a8bfbfe61e9e34935c4d9c7b4e36f1eb3843d114fbda5e43eE7xjtlooDosHI%2Bcs5KFckX3NteuhyoG5dbULCCyxnuM%3D" TargetMode="External"/><Relationship Id="rId24" Type="http://schemas.openxmlformats.org/officeDocument/2006/relationships/hyperlink" Target="https://pmposhan.wb.gov.in/sc_report_blockwise?district_code=ed402e733e02fc5c295037d8071d435d30e59c3fa24d899ba7b8afc39a78417cd6b60266fa3a7615e3b70f783b5d2725132e2c1d49bee788198f2904473b7f15QpaEXAbvy1RA5nMPl6SnVmSXTsetYVdBOoXmAoLKqRw%3D" TargetMode="External"/><Relationship Id="rId5" Type="http://schemas.openxmlformats.org/officeDocument/2006/relationships/hyperlink" Target="https://pmposhan.wb.gov.in/sc_report_blockwise?district_code=dfacc482325d187b31fa767f17acc6f0652c8094c4032423d0cae2a76705979cdf0a9691cb3fd24c303a403dfb5ecd2f985d3183ca0983ed631f725b04849742J3i2P1VRotgErw9iEJElhv17a2e81XbgZULyiLdjMQE%3D" TargetMode="External"/><Relationship Id="rId15" Type="http://schemas.openxmlformats.org/officeDocument/2006/relationships/hyperlink" Target="https://pmposhan.wb.gov.in/sc_report_blockwise?district_code=cd21cd0233e017a04065094123360eec1815d3bc9ae725dbe6dfa1a972c2534805aeb569f1f086472e71bfc0a1347aff21cce1a8049da1e1691f33bfa32ab3f5WenAmYbY1FxVsUr%2BN%2FMtgC5%2BasRvP%2FOTeLrpbJ7hKqA%3D" TargetMode="External"/><Relationship Id="rId23" Type="http://schemas.openxmlformats.org/officeDocument/2006/relationships/hyperlink" Target="https://pmposhan.wb.gov.in/sc_report_blockwise?district_code=0765190ef7d3e1f2e5e6844760f6f2ccbbaf5bb4fb6c9bf4108cc09dda92a7e7173e37faba900f7a94b045a2c2ccf89ef676d3b4071bace07060460f28b6ca77NLPfYOjoiiiqgo7xn7ZQCiU3pbBxHTbRsnCeFAgRE%2F0%3D" TargetMode="External"/><Relationship Id="rId10" Type="http://schemas.openxmlformats.org/officeDocument/2006/relationships/hyperlink" Target="https://pmposhan.wb.gov.in/sc_report_blockwise?district_code=facc57865643ebc23bf9773060382ff84b0ba8e4fd48820587ebe2a5d685672c499b055b69545dd3349fde09fb8e94a69cc5516988048799d75d0849c09cbecba%2FhRQbXNrlUxua8deg06%2FTBfiWvJWbewg%2FBcZzPI1is%3D" TargetMode="External"/><Relationship Id="rId19" Type="http://schemas.openxmlformats.org/officeDocument/2006/relationships/hyperlink" Target="https://pmposhan.wb.gov.in/sc_report_blockwise?district_code=31a75a6e6f5a7e969bec2e09a2a0d1182b36dc47bb5ff58b690d1e5354d8e83d77994831aff2a82ee0354c33c6adc0aa029806923446ea2a888ff0187ba42123X8w2Ne6j3p4Exk%2BLpPVcAgOYBzLrKgV0RmusbJOBtw4%3D" TargetMode="External"/><Relationship Id="rId4" Type="http://schemas.openxmlformats.org/officeDocument/2006/relationships/hyperlink" Target="https://pmposhan.wb.gov.in/sc_report_blockwise?district_code=e4abd6747bf88cc66971a466312e11215f983901672a64d54622b485b1b130d9a10cbc357e44504a3bc92e1ae891e7e3a8cb54f6f4934e52e710e611aa702c42PjJOT2vFLq8ySFD4%2BsIi%2BkATGs8zU8iaLTCvcV3pLEo%3D" TargetMode="External"/><Relationship Id="rId9" Type="http://schemas.openxmlformats.org/officeDocument/2006/relationships/hyperlink" Target="https://pmposhan.wb.gov.in/sc_report_blockwise?district_code=6644ecf60b20becb8582b22cd91b909dea634bed76d00177e4f7e4c92df51a52453b5311f0a0e46b2f7ccbe9ec8b3601c416a0b0210cfd2bc9144b89294e1a1fb5KSp5Y%2BaCOuc%2BEhGUVlHgs4ovdw26cuB1QO53N0StY%3D" TargetMode="External"/><Relationship Id="rId14" Type="http://schemas.openxmlformats.org/officeDocument/2006/relationships/hyperlink" Target="https://pmposhan.wb.gov.in/sc_report_blockwise?district_code=fe1d608a14dd03fceb1ca3c2bf5f75d35264063ed1a0576ab45f947ff2d4279937d5e6a0ee0b586c92980ea135f2da31e79cb4936acd9ae3534ba6e0784a3a8aZe4smmfw5FVh5CR%2Fjf74CrS0vQ8jkN%2FzSY0TFH%2Bpe7E%3D" TargetMode="External"/><Relationship Id="rId22" Type="http://schemas.openxmlformats.org/officeDocument/2006/relationships/hyperlink" Target="https://pmposhan.wb.gov.in/sc_report_blockwise?district_code=4d4df4e9e11e512ce03820d6287efe235c1808869b419d1f4122f25735f52b64654e5c3ca1a1b11d0039806f78e5408fa5a2b313bbc4bd4ceb19524298ac9ef7KWjgkIwJgIqDOlJFCB0f8PoA6x5JTW2FRn2ym%2BpwubI%3D" TargetMode="External"/><Relationship Id="rId27" Type="http://schemas.openxmlformats.org/officeDocument/2006/relationships/hyperlink" Target="https://www.biswa.net/school.php?dist=KOLK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tabSelected="1" topLeftCell="J1" zoomScaleNormal="100" workbookViewId="0">
      <selection activeCell="S20" sqref="S20"/>
    </sheetView>
  </sheetViews>
  <sheetFormatPr defaultRowHeight="14.4" x14ac:dyDescent="0.3"/>
  <cols>
    <col min="1" max="1" width="9" bestFit="1" customWidth="1"/>
    <col min="2" max="2" width="19" bestFit="1" customWidth="1"/>
    <col min="3" max="3" width="18.88671875" bestFit="1" customWidth="1"/>
    <col min="4" max="4" width="10.6640625" bestFit="1" customWidth="1"/>
    <col min="5" max="5" width="10.6640625" customWidth="1"/>
    <col min="6" max="6" width="15.88671875" bestFit="1" customWidth="1"/>
    <col min="7" max="7" width="18" bestFit="1" customWidth="1"/>
    <col min="8" max="8" width="10.88671875" bestFit="1" customWidth="1"/>
    <col min="9" max="9" width="18" bestFit="1" customWidth="1"/>
    <col min="10" max="10" width="17.5546875" bestFit="1" customWidth="1"/>
    <col min="11" max="11" width="16.88671875" bestFit="1" customWidth="1"/>
    <col min="12" max="13" width="16.88671875" customWidth="1"/>
    <col min="14" max="14" width="17.6640625" bestFit="1" customWidth="1"/>
    <col min="15" max="15" width="18.44140625" bestFit="1" customWidth="1"/>
  </cols>
  <sheetData>
    <row r="1" spans="1:17" x14ac:dyDescent="0.3">
      <c r="A1" s="21" t="s">
        <v>0</v>
      </c>
      <c r="B1" s="21" t="s">
        <v>1</v>
      </c>
      <c r="C1" s="21" t="s">
        <v>2</v>
      </c>
      <c r="D1" s="21" t="s">
        <v>3</v>
      </c>
      <c r="E1" s="21" t="s">
        <v>91</v>
      </c>
      <c r="F1" s="21" t="s">
        <v>4</v>
      </c>
      <c r="G1" s="21" t="s">
        <v>5</v>
      </c>
      <c r="H1" s="21" t="s">
        <v>86</v>
      </c>
      <c r="I1" s="21" t="s">
        <v>6</v>
      </c>
      <c r="J1" s="21" t="s">
        <v>7</v>
      </c>
      <c r="K1" s="21" t="s">
        <v>8</v>
      </c>
      <c r="L1" s="21" t="s">
        <v>89</v>
      </c>
      <c r="M1" s="21" t="s">
        <v>90</v>
      </c>
      <c r="N1" s="21" t="s">
        <v>9</v>
      </c>
      <c r="O1" s="21" t="s">
        <v>10</v>
      </c>
    </row>
    <row r="2" spans="1:17" x14ac:dyDescent="0.3">
      <c r="A2">
        <v>1</v>
      </c>
      <c r="B2" t="s">
        <v>11</v>
      </c>
      <c r="C2" t="s">
        <v>11</v>
      </c>
      <c r="D2">
        <f>VLOOKUP(B2,Population!$A$2:$C$24,3,FALSE)</f>
        <v>1491250</v>
      </c>
      <c r="E2" t="str">
        <f>IF(D2&gt;10000000,"A1",IF(D2&gt;1000000,"A2",IF(D2&gt;500000,"A3","A4")))</f>
        <v>A2</v>
      </c>
      <c r="F2">
        <v>765528</v>
      </c>
      <c r="G2">
        <v>725722</v>
      </c>
      <c r="H2">
        <v>3383</v>
      </c>
      <c r="I2">
        <f>D2/H2</f>
        <v>440.80697605675437</v>
      </c>
      <c r="J2">
        <v>337</v>
      </c>
      <c r="K2">
        <f>VLOOKUP(B2,Schools!$A$2:$B$25,2,FALSE)</f>
        <v>1631</v>
      </c>
      <c r="L2" t="str">
        <f>IF(K2&gt;=5000,"A",IF(K2&gt;=4000,"B",IF(K2&gt;=2600,"C",IF(K2&gt;=1100,"D","E"))))</f>
        <v>D</v>
      </c>
      <c r="M2" t="str">
        <f>_xlfn.IFS(RANK(K2,$K$2:$K$24,0)&gt;=20,"E",RANK(K2,$K$2:$K$24,0)&gt;=15,"D",RANK(K2,$K$2:$K$24,0)&gt;=10,"C",RANK(K2,$K$2:$K$24,0)&gt;=2,"B",RANK(K2,$K$2:$K$24,0)&lt;2,"A")</f>
        <v>E</v>
      </c>
      <c r="N2">
        <f t="shared" ref="N2:N24" si="0">RANK(K2,$K$2:$K$24,0)</f>
        <v>20</v>
      </c>
      <c r="Q2" t="s">
        <v>88</v>
      </c>
    </row>
    <row r="3" spans="1:17" x14ac:dyDescent="0.3">
      <c r="A3">
        <v>2</v>
      </c>
      <c r="B3" t="s">
        <v>12</v>
      </c>
      <c r="C3" t="s">
        <v>12</v>
      </c>
      <c r="D3">
        <f>VLOOKUP(B3,Population!$A$2:$C$24,3,FALSE)</f>
        <v>3596674</v>
      </c>
      <c r="E3" t="str">
        <f t="shared" ref="E3:E24" si="1">IF(D3&gt;10000000,"A1",IF(D3&gt;1000000,"A2",IF(D3&gt;500000,"A3","A4")))</f>
        <v>A2</v>
      </c>
      <c r="F3">
        <f>VLOOKUP(B3,Population!$J$2:$M$20,2,FALSE)</f>
        <v>1838095</v>
      </c>
      <c r="G3">
        <f>VLOOKUP(B3,Population!$J$2:$M$20,3,FALSE)</f>
        <v>1758579</v>
      </c>
      <c r="H3">
        <v>6882</v>
      </c>
      <c r="I3">
        <f t="shared" ref="I3:I24" si="2">D3/H3</f>
        <v>522.62045916884631</v>
      </c>
      <c r="J3">
        <f>VLOOKUP(B3,Villages!$A$2:$B$19,2,FALSE)</f>
        <v>3832</v>
      </c>
      <c r="K3">
        <f>VLOOKUP(B3,Schools!$A$2:$B$25,2,FALSE)</f>
        <v>4952</v>
      </c>
      <c r="L3" t="str">
        <f t="shared" ref="L3:L24" si="3">IF(K3&gt;=5000,"A",IF(K3&gt;=4000,"B",IF(K3&gt;=2600,"C",IF(K3&gt;=1100,"D","E"))))</f>
        <v>B</v>
      </c>
      <c r="M3" t="str">
        <f t="shared" ref="M3:M24" si="4">_xlfn.IFS(RANK(K3,$K$2:$K$24,0)&gt;=20,"E",RANK(K3,$K$2:$K$24,0)&gt;=15,"D",RANK(K3,$K$2:$K$24,0)&gt;=10,"C",RANK(K3,$K$2:$K$24,0)&gt;=2,"B",RANK(K3,$K$2:$K$24,0)&lt;2,"A")</f>
        <v>B</v>
      </c>
      <c r="N3">
        <f t="shared" si="0"/>
        <v>6</v>
      </c>
      <c r="Q3" t="s">
        <v>87</v>
      </c>
    </row>
    <row r="4" spans="1:17" x14ac:dyDescent="0.3">
      <c r="A4">
        <v>3</v>
      </c>
      <c r="B4" t="s">
        <v>13</v>
      </c>
      <c r="C4" t="s">
        <v>34</v>
      </c>
      <c r="D4">
        <f>VLOOKUP(B4,Population!$A$2:$C$24,3,FALSE)</f>
        <v>3502404</v>
      </c>
      <c r="E4" t="str">
        <f t="shared" si="1"/>
        <v>A2</v>
      </c>
      <c r="F4">
        <f>VLOOKUP(B4,Population!$J$2:$M$20,2,FALSE)</f>
        <v>1790920</v>
      </c>
      <c r="G4">
        <f>VLOOKUP(B4,Population!$J$2:$M$20,3,FALSE)</f>
        <v>1711484</v>
      </c>
      <c r="H4">
        <v>1603</v>
      </c>
      <c r="I4">
        <f t="shared" si="2"/>
        <v>2184.9058016219587</v>
      </c>
      <c r="J4">
        <f>VLOOKUP(B4,Villages!$A$2:$B$19,2,FALSE)</f>
        <v>2469</v>
      </c>
      <c r="K4">
        <f>VLOOKUP(B4,Schools!$A$2:$B$25,2,FALSE)</f>
        <v>3829</v>
      </c>
      <c r="L4" t="str">
        <f t="shared" si="3"/>
        <v>C</v>
      </c>
      <c r="M4" t="str">
        <f t="shared" si="4"/>
        <v>C</v>
      </c>
      <c r="N4">
        <f t="shared" si="0"/>
        <v>11</v>
      </c>
    </row>
    <row r="5" spans="1:17" x14ac:dyDescent="0.3">
      <c r="A5">
        <v>4</v>
      </c>
      <c r="B5" t="s">
        <v>14</v>
      </c>
      <c r="C5" t="s">
        <v>14</v>
      </c>
      <c r="D5">
        <f>VLOOKUP(B5,Population!$A$2:$C$24,3,FALSE)</f>
        <v>2819086</v>
      </c>
      <c r="E5" t="str">
        <f t="shared" si="1"/>
        <v>A2</v>
      </c>
      <c r="F5">
        <f>VLOOKUP(B5,Population!$J$2:$M$20,2,FALSE)</f>
        <v>1451542</v>
      </c>
      <c r="G5">
        <f>VLOOKUP(B5,Population!$J$2:$M$20,3,FALSE)</f>
        <v>1367544</v>
      </c>
      <c r="H5">
        <v>5433</v>
      </c>
      <c r="I5">
        <f t="shared" si="2"/>
        <v>518.88201730167498</v>
      </c>
      <c r="J5">
        <f>VLOOKUP(B5,Villages!$A$2:$B$19,2,FALSE)</f>
        <v>1206</v>
      </c>
      <c r="K5">
        <f>VLOOKUP(B5,Schools!$A$2:$B$25,2,FALSE)</f>
        <v>3224</v>
      </c>
      <c r="L5" t="str">
        <f t="shared" si="3"/>
        <v>C</v>
      </c>
      <c r="M5" t="str">
        <f t="shared" si="4"/>
        <v>C</v>
      </c>
      <c r="N5">
        <f t="shared" si="0"/>
        <v>13</v>
      </c>
    </row>
    <row r="6" spans="1:17" x14ac:dyDescent="0.3">
      <c r="A6">
        <v>5</v>
      </c>
      <c r="B6" t="s">
        <v>15</v>
      </c>
      <c r="C6" t="s">
        <v>35</v>
      </c>
      <c r="D6">
        <f>VLOOKUP(B6,Population!$A$2:$C$24,3,FALSE)</f>
        <v>1676276</v>
      </c>
      <c r="E6" t="str">
        <f t="shared" si="1"/>
        <v>A2</v>
      </c>
      <c r="F6">
        <f>VLOOKUP(B6,Population!$J$2:$M$20,2,FALSE)</f>
        <v>857199</v>
      </c>
      <c r="G6">
        <f>VLOOKUP(B6,Population!$J$2:$M$20,3,FALSE)</f>
        <v>819077</v>
      </c>
      <c r="H6">
        <v>4545</v>
      </c>
      <c r="I6">
        <f t="shared" si="2"/>
        <v>368.81760176017599</v>
      </c>
      <c r="J6">
        <f>VLOOKUP(B6,Villages!$A$2:$B$19,2,FALSE)</f>
        <v>1637</v>
      </c>
      <c r="K6">
        <f>VLOOKUP(B6,Schools!$A$2:$B$25,2,FALSE)</f>
        <v>2183</v>
      </c>
      <c r="L6" t="str">
        <f t="shared" si="3"/>
        <v>D</v>
      </c>
      <c r="M6" t="str">
        <f t="shared" si="4"/>
        <v>D</v>
      </c>
      <c r="N6">
        <f t="shared" si="0"/>
        <v>18</v>
      </c>
    </row>
    <row r="7" spans="1:17" x14ac:dyDescent="0.3">
      <c r="A7">
        <v>6</v>
      </c>
      <c r="B7" t="s">
        <v>16</v>
      </c>
      <c r="C7" t="s">
        <v>16</v>
      </c>
      <c r="D7">
        <f>VLOOKUP(B7,Population!$A$2:$C$24,3,FALSE)</f>
        <v>1846823</v>
      </c>
      <c r="E7" t="str">
        <f t="shared" si="1"/>
        <v>A2</v>
      </c>
      <c r="F7">
        <f>VLOOKUP(B7,Population!$J$2:$M$20,2,FALSE)</f>
        <v>937259</v>
      </c>
      <c r="G7">
        <f>VLOOKUP(B7,Population!$J$2:$M$20,3,FALSE)</f>
        <v>909564</v>
      </c>
      <c r="H7">
        <v>3387</v>
      </c>
      <c r="I7">
        <f t="shared" si="2"/>
        <v>545.26808385001482</v>
      </c>
      <c r="J7">
        <f>VLOOKUP(B7,Villages!$A$2:$B$19,2,FALSE)</f>
        <v>711</v>
      </c>
      <c r="K7">
        <f>VLOOKUP(B7,Schools!$A$2:$B$25,2,FALSE)</f>
        <v>1071</v>
      </c>
      <c r="L7" t="str">
        <f t="shared" si="3"/>
        <v>E</v>
      </c>
      <c r="M7" t="str">
        <f t="shared" si="4"/>
        <v>E</v>
      </c>
      <c r="N7">
        <f t="shared" si="0"/>
        <v>22</v>
      </c>
    </row>
    <row r="8" spans="1:17" x14ac:dyDescent="0.3">
      <c r="A8">
        <v>7</v>
      </c>
      <c r="B8" t="s">
        <v>17</v>
      </c>
      <c r="C8" t="s">
        <v>36</v>
      </c>
      <c r="D8">
        <f>VLOOKUP(B8,Population!$A$2:$C$24,3,FALSE)</f>
        <v>5519145</v>
      </c>
      <c r="E8" t="str">
        <f t="shared" si="1"/>
        <v>A2</v>
      </c>
      <c r="F8">
        <f>VLOOKUP(B8,Population!$J$2:$M$20,2,FALSE)</f>
        <v>2814653</v>
      </c>
      <c r="G8">
        <f>VLOOKUP(B8,Population!$J$2:$M$20,3,FALSE)</f>
        <v>2704492</v>
      </c>
      <c r="H8">
        <v>2183</v>
      </c>
      <c r="I8">
        <f t="shared" si="2"/>
        <v>2528.2386623912048</v>
      </c>
      <c r="J8">
        <f>VLOOKUP(B8,Villages!$A$2:$B$19,2,FALSE)</f>
        <v>1931</v>
      </c>
      <c r="K8">
        <f>VLOOKUP(B8,Schools!$A$2:$B$25,2,FALSE)</f>
        <v>4175</v>
      </c>
      <c r="L8" t="str">
        <f t="shared" si="3"/>
        <v>B</v>
      </c>
      <c r="M8" t="str">
        <f t="shared" si="4"/>
        <v>B</v>
      </c>
      <c r="N8">
        <f t="shared" si="0"/>
        <v>9</v>
      </c>
    </row>
    <row r="9" spans="1:17" x14ac:dyDescent="0.3">
      <c r="A9">
        <v>8</v>
      </c>
      <c r="B9" t="s">
        <v>18</v>
      </c>
      <c r="C9" t="s">
        <v>18</v>
      </c>
      <c r="D9">
        <f>VLOOKUP(B9,Population!$A$2:$C$24,3,FALSE)</f>
        <v>4850029</v>
      </c>
      <c r="E9" t="str">
        <f t="shared" si="1"/>
        <v>A2</v>
      </c>
      <c r="F9">
        <f>VLOOKUP(B9,Population!$J$2:$M$20,2,FALSE)</f>
        <v>2500819</v>
      </c>
      <c r="G9">
        <f>VLOOKUP(B9,Population!$J$2:$M$20,3,FALSE)</f>
        <v>2349210</v>
      </c>
      <c r="H9">
        <v>3149</v>
      </c>
      <c r="I9">
        <f t="shared" si="2"/>
        <v>1540.1806922832645</v>
      </c>
      <c r="J9">
        <v>650</v>
      </c>
      <c r="K9">
        <f>VLOOKUP(B9,Schools!$A$2:$B$25,2,FALSE)</f>
        <v>3035</v>
      </c>
      <c r="L9" t="str">
        <f t="shared" si="3"/>
        <v>C</v>
      </c>
      <c r="M9" t="str">
        <f t="shared" si="4"/>
        <v>C</v>
      </c>
      <c r="N9">
        <f t="shared" si="0"/>
        <v>14</v>
      </c>
    </row>
    <row r="10" spans="1:17" x14ac:dyDescent="0.3">
      <c r="A10">
        <v>9</v>
      </c>
      <c r="B10" t="s">
        <v>19</v>
      </c>
      <c r="C10" t="s">
        <v>19</v>
      </c>
      <c r="D10">
        <f>VLOOKUP(B10,Population!$A$2:$C$24,3,FALSE)</f>
        <v>3872846</v>
      </c>
      <c r="E10" t="str">
        <f t="shared" si="1"/>
        <v>A2</v>
      </c>
      <c r="F10">
        <f>VLOOKUP(B10,Population!$J$2:$M$20,2,FALSE)</f>
        <v>1983064</v>
      </c>
      <c r="G10">
        <f>VLOOKUP(B10,Population!$J$2:$M$20,3,FALSE)</f>
        <v>1889782</v>
      </c>
      <c r="H10">
        <v>3149</v>
      </c>
      <c r="I10">
        <f t="shared" si="2"/>
        <v>1229.8653540806606</v>
      </c>
      <c r="J10">
        <f>VLOOKUP(B10,Villages!$A$2:$B$19,2,FALSE)</f>
        <v>768</v>
      </c>
      <c r="K10">
        <f>VLOOKUP(B10,Schools!$A$2:$B$25,2,FALSE)</f>
        <v>2249</v>
      </c>
      <c r="L10" t="str">
        <f t="shared" si="3"/>
        <v>D</v>
      </c>
      <c r="M10" t="str">
        <f t="shared" si="4"/>
        <v>D</v>
      </c>
      <c r="N10">
        <f t="shared" si="0"/>
        <v>17</v>
      </c>
    </row>
    <row r="11" spans="1:17" x14ac:dyDescent="0.3">
      <c r="A11">
        <v>10</v>
      </c>
      <c r="B11" t="s">
        <v>20</v>
      </c>
      <c r="C11" t="s">
        <v>20</v>
      </c>
      <c r="D11">
        <f>VLOOKUP(B11,Population!$A$2:$C$24,3,FALSE)</f>
        <v>1136548</v>
      </c>
      <c r="E11" t="str">
        <f t="shared" si="1"/>
        <v>A2</v>
      </c>
      <c r="F11">
        <v>575085</v>
      </c>
      <c r="G11">
        <v>562078</v>
      </c>
      <c r="H11">
        <v>1467</v>
      </c>
      <c r="I11">
        <f t="shared" si="2"/>
        <v>774.74301295160194</v>
      </c>
      <c r="J11">
        <v>2996</v>
      </c>
      <c r="K11">
        <f>VLOOKUP(B11,Schools!$A$2:$B$25,2,FALSE)</f>
        <v>2316</v>
      </c>
      <c r="L11" t="str">
        <f t="shared" si="3"/>
        <v>D</v>
      </c>
      <c r="M11" t="str">
        <f t="shared" si="4"/>
        <v>D</v>
      </c>
      <c r="N11">
        <f t="shared" si="0"/>
        <v>16</v>
      </c>
    </row>
    <row r="12" spans="1:17" x14ac:dyDescent="0.3">
      <c r="A12">
        <v>11</v>
      </c>
      <c r="B12" t="s">
        <v>21</v>
      </c>
      <c r="C12" t="s">
        <v>21</v>
      </c>
      <c r="D12">
        <f>VLOOKUP(B12,Population!$A$2:$C$24,3,FALSE)</f>
        <v>251642</v>
      </c>
      <c r="E12" t="str">
        <f t="shared" si="1"/>
        <v>A4</v>
      </c>
      <c r="F12">
        <v>128454</v>
      </c>
      <c r="G12">
        <v>123188</v>
      </c>
      <c r="H12">
        <v>6227</v>
      </c>
      <c r="I12">
        <f t="shared" si="2"/>
        <v>40.411434077404849</v>
      </c>
      <c r="J12">
        <v>128</v>
      </c>
      <c r="K12">
        <f>VLOOKUP(B12,Schools!$A$2:$B$25,2,FALSE)</f>
        <v>459</v>
      </c>
      <c r="L12" t="str">
        <f t="shared" si="3"/>
        <v>E</v>
      </c>
      <c r="M12" t="str">
        <f>_xlfn.IFS(RANK(K12,$K$2:$K$24,0)&gt;=20,"E",RANK(K12,$K$2:$K$24,0)&gt;=15,"D",RANK(K12,$K$2:$K$24,0)&gt;=10,"C",RANK(K12,$K$2:$K$24,0)&gt;=2,"B",RANK(K12,$K$2:$K$24,0)&lt;2,"A")</f>
        <v>E</v>
      </c>
      <c r="N12">
        <f t="shared" si="0"/>
        <v>23</v>
      </c>
    </row>
    <row r="13" spans="1:17" x14ac:dyDescent="0.3">
      <c r="A13">
        <v>12</v>
      </c>
      <c r="B13" t="s">
        <v>22</v>
      </c>
      <c r="C13" t="s">
        <v>22</v>
      </c>
      <c r="D13">
        <f>VLOOKUP(B13,Population!$A$2:$C$24,3,FALSE)</f>
        <v>4496694</v>
      </c>
      <c r="E13" t="str">
        <f t="shared" si="1"/>
        <v>A2</v>
      </c>
      <c r="F13">
        <f>VLOOKUP(B13,Population!$J$2:$M$20,2,FALSE)</f>
        <v>2356766</v>
      </c>
      <c r="G13">
        <f>VLOOKUP(B13,Population!$J$2:$M$20,3,FALSE)</f>
        <v>2139928</v>
      </c>
      <c r="H13">
        <v>3038</v>
      </c>
      <c r="I13">
        <f t="shared" si="2"/>
        <v>1480.1494404213299</v>
      </c>
      <c r="J13">
        <v>0</v>
      </c>
      <c r="K13">
        <f>VLOOKUP(B13,Schools!$A$2:$B$25,2,FALSE)</f>
        <v>2089</v>
      </c>
      <c r="L13" t="str">
        <f t="shared" si="3"/>
        <v>D</v>
      </c>
      <c r="M13" t="str">
        <f t="shared" si="4"/>
        <v>D</v>
      </c>
      <c r="N13">
        <f t="shared" si="0"/>
        <v>19</v>
      </c>
    </row>
    <row r="14" spans="1:17" x14ac:dyDescent="0.3">
      <c r="A14">
        <v>13</v>
      </c>
      <c r="B14" t="s">
        <v>23</v>
      </c>
      <c r="C14" t="s">
        <v>37</v>
      </c>
      <c r="D14">
        <f>VLOOKUP(B14,Population!$A$2:$C$24,3,FALSE)</f>
        <v>3988845</v>
      </c>
      <c r="E14" t="str">
        <f t="shared" si="1"/>
        <v>A2</v>
      </c>
      <c r="F14">
        <f>VLOOKUP(B14,Population!$J$2:$M$20,2,FALSE)</f>
        <v>2051541</v>
      </c>
      <c r="G14">
        <f>VLOOKUP(B14,Population!$J$2:$M$20,3,FALSE)</f>
        <v>1937304</v>
      </c>
      <c r="H14">
        <v>1054</v>
      </c>
      <c r="I14">
        <f t="shared" si="2"/>
        <v>3784.4829222011385</v>
      </c>
      <c r="J14">
        <v>1772</v>
      </c>
      <c r="K14">
        <f>VLOOKUP(B14,Schools!$A$2:$B$25,2,FALSE)</f>
        <v>3290</v>
      </c>
      <c r="L14" t="str">
        <f t="shared" si="3"/>
        <v>C</v>
      </c>
      <c r="M14" t="str">
        <f t="shared" si="4"/>
        <v>C</v>
      </c>
      <c r="N14">
        <f t="shared" si="0"/>
        <v>12</v>
      </c>
    </row>
    <row r="15" spans="1:17" x14ac:dyDescent="0.3">
      <c r="A15">
        <v>14</v>
      </c>
      <c r="B15" t="s">
        <v>24</v>
      </c>
      <c r="C15" t="s">
        <v>38</v>
      </c>
      <c r="D15">
        <f>VLOOKUP(B15,Population!$A$2:$C$24,3,FALSE)</f>
        <v>7103807</v>
      </c>
      <c r="E15" t="str">
        <f t="shared" si="1"/>
        <v>A2</v>
      </c>
      <c r="F15">
        <f>VLOOKUP(B15,Population!$J$2:$M$20,2,FALSE)</f>
        <v>3627564</v>
      </c>
      <c r="G15">
        <f>VLOOKUP(B15,Population!$J$2:$M$20,3,FALSE)</f>
        <v>3476243</v>
      </c>
      <c r="H15">
        <v>206.08</v>
      </c>
      <c r="I15">
        <f t="shared" si="2"/>
        <v>34471.113159937886</v>
      </c>
      <c r="J15">
        <f>VLOOKUP(B15,Villages!$A$2:$B$19,2,FALSE)</f>
        <v>2231</v>
      </c>
      <c r="K15">
        <f>VLOOKUP(B15,Schools!$A$2:$B$25,2,FALSE)</f>
        <v>5875</v>
      </c>
      <c r="L15" t="str">
        <f t="shared" si="3"/>
        <v>A</v>
      </c>
      <c r="M15" t="str">
        <f t="shared" si="4"/>
        <v>B</v>
      </c>
      <c r="N15">
        <f t="shared" si="0"/>
        <v>4</v>
      </c>
    </row>
    <row r="16" spans="1:17" x14ac:dyDescent="0.3">
      <c r="A16">
        <v>15</v>
      </c>
      <c r="B16" t="s">
        <v>25</v>
      </c>
      <c r="C16" t="s">
        <v>39</v>
      </c>
      <c r="D16">
        <f>VLOOKUP(B16,Population!$A$2:$C$24,3,FALSE)</f>
        <v>5167600</v>
      </c>
      <c r="E16" t="str">
        <f t="shared" si="1"/>
        <v>A2</v>
      </c>
      <c r="F16">
        <f>VLOOKUP(B16,Population!$J$2:$M$20,2,FALSE)</f>
        <v>2653768</v>
      </c>
      <c r="G16">
        <f>VLOOKUP(B16,Population!$J$2:$M$20,3,FALSE)</f>
        <v>2513832</v>
      </c>
      <c r="H16">
        <v>3733</v>
      </c>
      <c r="I16">
        <f t="shared" si="2"/>
        <v>1384.3021698365926</v>
      </c>
      <c r="J16">
        <f>VLOOKUP(B16,Villages!$A$2:$B$19,2,FALSE)</f>
        <v>1367</v>
      </c>
      <c r="K16">
        <f>VLOOKUP(B16,Schools!$A$2:$B$25,2,FALSE)</f>
        <v>4110</v>
      </c>
      <c r="L16" t="str">
        <f t="shared" si="3"/>
        <v>B</v>
      </c>
      <c r="M16" t="str">
        <f t="shared" si="4"/>
        <v>C</v>
      </c>
      <c r="N16">
        <f t="shared" si="0"/>
        <v>10</v>
      </c>
    </row>
    <row r="17" spans="1:14" x14ac:dyDescent="0.3">
      <c r="A17">
        <v>16</v>
      </c>
      <c r="B17" t="s">
        <v>26</v>
      </c>
      <c r="C17" t="s">
        <v>40</v>
      </c>
      <c r="D17">
        <f>VLOOKUP(B17,Population!$A$2:$C$24,3,FALSE)</f>
        <v>10009781</v>
      </c>
      <c r="E17" t="str">
        <f t="shared" si="1"/>
        <v>A1</v>
      </c>
      <c r="F17">
        <f>VLOOKUP(B17,Population!$J$2:$M$20,2,FALSE)</f>
        <v>5119389</v>
      </c>
      <c r="G17">
        <f>VLOOKUP(B17,Population!$J$2:$M$20,3,FALSE)</f>
        <v>4890392</v>
      </c>
      <c r="H17">
        <v>5324</v>
      </c>
      <c r="I17">
        <f t="shared" si="2"/>
        <v>1880.1241547708489</v>
      </c>
      <c r="J17">
        <f>VLOOKUP(B17,Villages!$A$2:$B$19,2,FALSE)</f>
        <v>1609</v>
      </c>
      <c r="K17">
        <f>VLOOKUP(B17,Schools!$A$2:$B$25,2,FALSE)</f>
        <v>5874</v>
      </c>
      <c r="L17" t="str">
        <f t="shared" si="3"/>
        <v>A</v>
      </c>
      <c r="M17" t="str">
        <f t="shared" si="4"/>
        <v>B</v>
      </c>
      <c r="N17">
        <f t="shared" si="0"/>
        <v>5</v>
      </c>
    </row>
    <row r="18" spans="1:14" x14ac:dyDescent="0.3">
      <c r="A18">
        <v>17</v>
      </c>
      <c r="B18" t="s">
        <v>27</v>
      </c>
      <c r="C18" t="s">
        <v>41</v>
      </c>
      <c r="D18">
        <f>VLOOKUP(B18,Population!$A$2:$C$24,3,FALSE)</f>
        <v>2882031</v>
      </c>
      <c r="E18" t="str">
        <f t="shared" si="1"/>
        <v>A2</v>
      </c>
      <c r="F18">
        <v>1499496</v>
      </c>
      <c r="G18">
        <v>1382535</v>
      </c>
      <c r="H18">
        <v>3927</v>
      </c>
      <c r="I18">
        <f t="shared" si="2"/>
        <v>733.90145148968679</v>
      </c>
      <c r="J18">
        <v>316</v>
      </c>
      <c r="K18">
        <f>VLOOKUP(B18,Schools!$A$2:$B$25,2,FALSE)</f>
        <v>1579</v>
      </c>
      <c r="L18" t="str">
        <f t="shared" si="3"/>
        <v>D</v>
      </c>
      <c r="M18" t="str">
        <f t="shared" si="4"/>
        <v>E</v>
      </c>
      <c r="N18">
        <f t="shared" si="0"/>
        <v>21</v>
      </c>
    </row>
    <row r="19" spans="1:14" x14ac:dyDescent="0.3">
      <c r="A19">
        <v>18</v>
      </c>
      <c r="B19" t="s">
        <v>28</v>
      </c>
      <c r="C19" t="s">
        <v>42</v>
      </c>
      <c r="D19">
        <f>VLOOKUP(B19,Population!$A$2:$C$24,3,FALSE)</f>
        <v>5913457</v>
      </c>
      <c r="E19" t="str">
        <f t="shared" si="1"/>
        <v>A2</v>
      </c>
      <c r="F19">
        <f>VLOOKUP(B19,Population!$J$2:$M$20,2,FALSE)</f>
        <v>3007885</v>
      </c>
      <c r="G19">
        <f>VLOOKUP(B19,Population!$J$2:$M$20,3,FALSE)</f>
        <v>2905572</v>
      </c>
      <c r="H19">
        <v>4094</v>
      </c>
      <c r="I19">
        <f t="shared" si="2"/>
        <v>1444.4203712750366</v>
      </c>
      <c r="J19">
        <f>VLOOKUP(B19,Villages!$A$2:$B$19,2,FALSE)</f>
        <v>8705</v>
      </c>
      <c r="K19">
        <f>VLOOKUP(B19,Schools!$A$2:$B$25,2,FALSE)</f>
        <v>6500</v>
      </c>
      <c r="L19" t="str">
        <f t="shared" si="3"/>
        <v>A</v>
      </c>
      <c r="M19" t="str">
        <f t="shared" si="4"/>
        <v>A</v>
      </c>
      <c r="N19">
        <f t="shared" si="0"/>
        <v>1</v>
      </c>
    </row>
    <row r="20" spans="1:14" x14ac:dyDescent="0.3">
      <c r="A20">
        <v>19</v>
      </c>
      <c r="B20" t="s">
        <v>29</v>
      </c>
      <c r="C20" t="s">
        <v>43</v>
      </c>
      <c r="D20">
        <f>VLOOKUP(B20,Population!$A$2:$C$24,3,FALSE)</f>
        <v>4835532</v>
      </c>
      <c r="E20" t="str">
        <f t="shared" si="1"/>
        <v>A2</v>
      </c>
      <c r="F20">
        <v>2469628</v>
      </c>
      <c r="G20">
        <v>2365904</v>
      </c>
      <c r="H20">
        <v>9345</v>
      </c>
      <c r="I20">
        <f t="shared" si="2"/>
        <v>517.44590690208668</v>
      </c>
      <c r="J20">
        <v>2102</v>
      </c>
      <c r="K20">
        <f>VLOOKUP(B20,Schools!$A$2:$B$25,2,FALSE)</f>
        <v>4707</v>
      </c>
      <c r="L20" t="str">
        <f t="shared" si="3"/>
        <v>B</v>
      </c>
      <c r="M20" t="str">
        <f t="shared" si="4"/>
        <v>B</v>
      </c>
      <c r="N20">
        <f t="shared" si="0"/>
        <v>7</v>
      </c>
    </row>
    <row r="21" spans="1:14" x14ac:dyDescent="0.3">
      <c r="A21">
        <v>20</v>
      </c>
      <c r="B21" t="s">
        <v>30</v>
      </c>
      <c r="C21" t="s">
        <v>44</v>
      </c>
      <c r="D21">
        <f>VLOOKUP(B21,Population!$A$2:$C$24,3,FALSE)</f>
        <v>5095875</v>
      </c>
      <c r="E21" t="str">
        <f t="shared" si="1"/>
        <v>A2</v>
      </c>
      <c r="F21">
        <f>VLOOKUP(B21,Population!$J$2:$M$20,2,FALSE)</f>
        <v>2629834</v>
      </c>
      <c r="G21">
        <f>VLOOKUP(B21,Population!$J$2:$M$20,3,FALSE)</f>
        <v>2466041</v>
      </c>
      <c r="H21">
        <v>4736</v>
      </c>
      <c r="I21">
        <f t="shared" si="2"/>
        <v>1075.9871199324325</v>
      </c>
      <c r="J21">
        <f>VLOOKUP(B21,Villages!$A$2:$B$19,2,FALSE)</f>
        <v>3014</v>
      </c>
      <c r="K21">
        <f>VLOOKUP(B21,Schools!$A$2:$B$25,2,FALSE)</f>
        <v>5910</v>
      </c>
      <c r="L21" t="str">
        <f t="shared" si="3"/>
        <v>A</v>
      </c>
      <c r="M21" t="str">
        <f t="shared" si="4"/>
        <v>B</v>
      </c>
      <c r="N21">
        <f t="shared" si="0"/>
        <v>3</v>
      </c>
    </row>
    <row r="22" spans="1:14" x14ac:dyDescent="0.3">
      <c r="A22">
        <v>21</v>
      </c>
      <c r="B22" t="s">
        <v>31</v>
      </c>
      <c r="C22" t="s">
        <v>31</v>
      </c>
      <c r="D22">
        <f>VLOOKUP(B22,Population!$A$2:$C$24,3,FALSE)</f>
        <v>2930115</v>
      </c>
      <c r="E22" t="str">
        <f t="shared" si="1"/>
        <v>A2</v>
      </c>
      <c r="F22">
        <f>VLOOKUP(B22,Population!$J$2:$M$20,2,FALSE)</f>
        <v>1496996</v>
      </c>
      <c r="G22">
        <f>VLOOKUP(B22,Population!$J$2:$M$20,3,FALSE)</f>
        <v>1433119</v>
      </c>
      <c r="H22">
        <v>6259</v>
      </c>
      <c r="I22">
        <f t="shared" si="2"/>
        <v>468.14427224796293</v>
      </c>
      <c r="J22">
        <f>VLOOKUP(B22,Villages!$A$2:$B$19,2,FALSE)</f>
        <v>2692</v>
      </c>
      <c r="K22">
        <f>VLOOKUP(B22,Schools!$A$2:$B$25,2,FALSE)</f>
        <v>4372</v>
      </c>
      <c r="L22" t="str">
        <f t="shared" si="3"/>
        <v>B</v>
      </c>
      <c r="M22" t="str">
        <f t="shared" si="4"/>
        <v>B</v>
      </c>
      <c r="N22">
        <f t="shared" si="0"/>
        <v>8</v>
      </c>
    </row>
    <row r="23" spans="1:14" x14ac:dyDescent="0.3">
      <c r="A23">
        <v>22</v>
      </c>
      <c r="B23" t="s">
        <v>32</v>
      </c>
      <c r="C23" t="s">
        <v>45</v>
      </c>
      <c r="D23">
        <f>VLOOKUP(B23,Population!$A$2:$C$24,3,FALSE)</f>
        <v>8161961</v>
      </c>
      <c r="E23" t="str">
        <f t="shared" si="1"/>
        <v>A2</v>
      </c>
      <c r="F23">
        <f>VLOOKUP(B23,Population!$J$2:$M$20,2,FALSE)</f>
        <v>4173778</v>
      </c>
      <c r="G23">
        <f>VLOOKUP(B23,Population!$J$2:$M$20,3,FALSE)</f>
        <v>3988183</v>
      </c>
      <c r="H23">
        <v>9960</v>
      </c>
      <c r="I23">
        <f t="shared" si="2"/>
        <v>819.47399598393577</v>
      </c>
      <c r="J23">
        <f>VLOOKUP(B23,Villages!$A$2:$B$19,2,FALSE)</f>
        <v>2153</v>
      </c>
      <c r="K23">
        <f>VLOOKUP(B23,Schools!$A$2:$B$25,2,FALSE)</f>
        <v>6207</v>
      </c>
      <c r="L23" t="str">
        <f t="shared" si="3"/>
        <v>A</v>
      </c>
      <c r="M23" t="str">
        <f t="shared" si="4"/>
        <v>B</v>
      </c>
      <c r="N23">
        <f t="shared" si="0"/>
        <v>2</v>
      </c>
    </row>
    <row r="24" spans="1:14" x14ac:dyDescent="0.3">
      <c r="A24">
        <v>23</v>
      </c>
      <c r="B24" t="s">
        <v>33</v>
      </c>
      <c r="C24" t="s">
        <v>46</v>
      </c>
      <c r="D24">
        <f>VLOOKUP(B24,Population!$A$2:$C$24,3,FALSE)</f>
        <v>3007134</v>
      </c>
      <c r="E24" t="str">
        <f t="shared" si="1"/>
        <v>A2</v>
      </c>
      <c r="F24">
        <f>VLOOKUP(B24,Population!$J$2:$M$20,2,FALSE)</f>
        <v>1551066</v>
      </c>
      <c r="G24">
        <f>VLOOKUP(B24,Population!$J$2:$M$20,3,FALSE)</f>
        <v>1456068</v>
      </c>
      <c r="H24">
        <v>3180</v>
      </c>
      <c r="I24">
        <f t="shared" si="2"/>
        <v>945.63962264150939</v>
      </c>
      <c r="J24">
        <f>VLOOKUP(B24,Villages!$A$2:$B$19,2,FALSE)</f>
        <v>1499</v>
      </c>
      <c r="K24">
        <f>VLOOKUP(B24,Schools!$A$2:$B$25,2,FALSE)</f>
        <v>2982</v>
      </c>
      <c r="L24" t="str">
        <f t="shared" si="3"/>
        <v>C</v>
      </c>
      <c r="M24" t="str">
        <f t="shared" si="4"/>
        <v>D</v>
      </c>
      <c r="N24">
        <f t="shared" si="0"/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"/>
  <sheetViews>
    <sheetView zoomScale="85" zoomScaleNormal="85" workbookViewId="0">
      <selection activeCell="A18" sqref="A18"/>
    </sheetView>
  </sheetViews>
  <sheetFormatPr defaultRowHeight="14.4" x14ac:dyDescent="0.3"/>
  <cols>
    <col min="1" max="1" width="27.44140625" bestFit="1" customWidth="1"/>
  </cols>
  <sheetData>
    <row r="1" spans="1:12" ht="15" thickBot="1" x14ac:dyDescent="0.35">
      <c r="A1" t="s">
        <v>75</v>
      </c>
      <c r="B1" t="s">
        <v>81</v>
      </c>
    </row>
    <row r="2" spans="1:12" ht="18" x14ac:dyDescent="0.3">
      <c r="A2" s="16" t="s">
        <v>12</v>
      </c>
      <c r="B2" s="14">
        <v>3832</v>
      </c>
    </row>
    <row r="3" spans="1:12" ht="18" x14ac:dyDescent="0.3">
      <c r="A3" s="17" t="s">
        <v>51</v>
      </c>
      <c r="B3" s="13">
        <v>2588</v>
      </c>
    </row>
    <row r="4" spans="1:12" ht="18" x14ac:dyDescent="0.3">
      <c r="A4" s="18" t="s">
        <v>13</v>
      </c>
      <c r="B4" s="12">
        <v>2469</v>
      </c>
      <c r="L4" s="3" t="s">
        <v>49</v>
      </c>
    </row>
    <row r="5" spans="1:12" ht="18" x14ac:dyDescent="0.3">
      <c r="A5" s="17" t="s">
        <v>15</v>
      </c>
      <c r="B5" s="13">
        <v>1637</v>
      </c>
      <c r="L5" s="3" t="s">
        <v>78</v>
      </c>
    </row>
    <row r="6" spans="1:12" ht="18" x14ac:dyDescent="0.3">
      <c r="A6" t="s">
        <v>16</v>
      </c>
      <c r="B6" s="12">
        <v>711</v>
      </c>
    </row>
    <row r="7" spans="1:12" ht="18" x14ac:dyDescent="0.3">
      <c r="A7" s="17" t="s">
        <v>52</v>
      </c>
      <c r="B7" s="13">
        <v>786</v>
      </c>
    </row>
    <row r="8" spans="1:12" ht="18" x14ac:dyDescent="0.3">
      <c r="A8" s="18" t="s">
        <v>17</v>
      </c>
      <c r="B8" s="12">
        <v>1931</v>
      </c>
    </row>
    <row r="9" spans="1:12" ht="18" x14ac:dyDescent="0.3">
      <c r="A9" s="17" t="s">
        <v>19</v>
      </c>
      <c r="B9" s="13">
        <v>768</v>
      </c>
    </row>
    <row r="10" spans="1:12" ht="18" x14ac:dyDescent="0.3">
      <c r="A10" t="s">
        <v>14</v>
      </c>
      <c r="B10" s="12">
        <v>1206</v>
      </c>
    </row>
    <row r="11" spans="1:12" ht="18" x14ac:dyDescent="0.3">
      <c r="A11" s="17" t="s">
        <v>53</v>
      </c>
      <c r="B11" s="13">
        <v>1798</v>
      </c>
    </row>
    <row r="12" spans="1:12" ht="18" x14ac:dyDescent="0.3">
      <c r="A12" s="18" t="s">
        <v>24</v>
      </c>
      <c r="B12" s="12">
        <v>2231</v>
      </c>
    </row>
    <row r="13" spans="1:12" ht="18" x14ac:dyDescent="0.3">
      <c r="A13" s="17" t="s">
        <v>25</v>
      </c>
      <c r="B13" s="13">
        <v>1367</v>
      </c>
    </row>
    <row r="14" spans="1:12" ht="18" x14ac:dyDescent="0.3">
      <c r="A14" s="18" t="s">
        <v>26</v>
      </c>
      <c r="B14" s="12">
        <v>1609</v>
      </c>
    </row>
    <row r="15" spans="1:12" ht="18" x14ac:dyDescent="0.3">
      <c r="A15" s="17" t="s">
        <v>28</v>
      </c>
      <c r="B15" s="13">
        <v>8705</v>
      </c>
    </row>
    <row r="16" spans="1:12" ht="18" x14ac:dyDescent="0.3">
      <c r="A16" s="18" t="s">
        <v>30</v>
      </c>
      <c r="B16" s="12">
        <v>3014</v>
      </c>
    </row>
    <row r="17" spans="1:2" ht="18" x14ac:dyDescent="0.3">
      <c r="A17" s="17" t="s">
        <v>31</v>
      </c>
      <c r="B17" s="13">
        <v>2692</v>
      </c>
    </row>
    <row r="18" spans="1:2" ht="18" x14ac:dyDescent="0.3">
      <c r="A18" s="18" t="s">
        <v>32</v>
      </c>
      <c r="B18" s="12">
        <v>2153</v>
      </c>
    </row>
    <row r="19" spans="1:2" ht="18.600000000000001" thickBot="1" x14ac:dyDescent="0.35">
      <c r="A19" s="19" t="s">
        <v>33</v>
      </c>
      <c r="B19" s="15">
        <v>1499</v>
      </c>
    </row>
  </sheetData>
  <hyperlinks>
    <hyperlink ref="L4" r:id="rId1" xr:uid="{00000000-0004-0000-0100-000000000000}"/>
    <hyperlink ref="L5" r:id="rId2" xr:uid="{00000000-0004-0000-0100-000001000000}"/>
    <hyperlink ref="A2" r:id="rId3" display="https://vlist.in/district/339.html" xr:uid="{00000000-0004-0000-0100-000002000000}"/>
    <hyperlink ref="A3" r:id="rId4" display="https://vlist.in/district/335.html" xr:uid="{00000000-0004-0000-0100-000003000000}"/>
    <hyperlink ref="A4" r:id="rId5" display="https://vlist.in/district/334.html" xr:uid="{00000000-0004-0000-0100-000004000000}"/>
    <hyperlink ref="A5" r:id="rId6" display="https://vlist.in/district/331.html" xr:uid="{00000000-0004-0000-0100-000005000000}"/>
    <hyperlink ref="A6" r:id="rId7" display="https://vlist.in/district/327.html" xr:uid="{00000000-0004-0000-0100-000006000000}"/>
    <hyperlink ref="A7" r:id="rId8" display="https://vlist.in/district/341.html" xr:uid="{00000000-0004-0000-0100-000007000000}"/>
    <hyperlink ref="A8" r:id="rId9" display="https://vlist.in/district/338.html" xr:uid="{00000000-0004-0000-0100-000008000000}"/>
    <hyperlink ref="A9" r:id="rId10" display="https://vlist.in/district/328.html" xr:uid="{00000000-0004-0000-0100-000009000000}"/>
    <hyperlink ref="A10" r:id="rId11" display="https://vlist.in/district/329.html" xr:uid="{00000000-0004-0000-0100-00000A000000}"/>
    <hyperlink ref="A11" r:id="rId12" display="https://vlist.in/district/332.html" xr:uid="{00000000-0004-0000-0100-00000B000000}"/>
    <hyperlink ref="A12" r:id="rId13" display="https://vlist.in/district/333.html" xr:uid="{00000000-0004-0000-0100-00000C000000}"/>
    <hyperlink ref="A13" r:id="rId14" display="https://vlist.in/district/336.html" xr:uid="{00000000-0004-0000-0100-00000D000000}"/>
    <hyperlink ref="A14" r:id="rId15" display="https://vlist.in/district/337.html" xr:uid="{00000000-0004-0000-0100-00000E000000}"/>
    <hyperlink ref="A15" r:id="rId16" display="https://vlist.in/district/344.html" xr:uid="{00000000-0004-0000-0100-00000F000000}"/>
    <hyperlink ref="A16" r:id="rId17" display="https://vlist.in/district/345.html" xr:uid="{00000000-0004-0000-0100-000010000000}"/>
    <hyperlink ref="A17" r:id="rId18" display="https://vlist.in/district/340.html" xr:uid="{00000000-0004-0000-0100-000011000000}"/>
    <hyperlink ref="A18" r:id="rId19" display="https://vlist.in/district/343.html" xr:uid="{00000000-0004-0000-0100-000012000000}"/>
    <hyperlink ref="A19" r:id="rId20" display="https://vlist.in/district/330.html" xr:uid="{00000000-0004-0000-0100-000013000000}"/>
  </hyperlinks>
  <pageMargins left="0.7" right="0.7" top="0.75" bottom="0.75" header="0.3" footer="0.3"/>
  <pageSetup orientation="portrait" r:id="rId2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zoomScaleNormal="100" workbookViewId="0">
      <selection activeCell="G16" sqref="G16"/>
    </sheetView>
  </sheetViews>
  <sheetFormatPr defaultRowHeight="14.4" x14ac:dyDescent="0.3"/>
  <cols>
    <col min="1" max="1" width="17.6640625" bestFit="1" customWidth="1"/>
    <col min="2" max="2" width="16.109375" bestFit="1" customWidth="1"/>
    <col min="3" max="3" width="9" bestFit="1" customWidth="1"/>
    <col min="5" max="5" width="5.6640625" bestFit="1" customWidth="1"/>
    <col min="10" max="10" width="26.44140625" bestFit="1" customWidth="1"/>
    <col min="13" max="13" width="10.6640625" bestFit="1" customWidth="1"/>
  </cols>
  <sheetData>
    <row r="1" spans="1:13" x14ac:dyDescent="0.3">
      <c r="A1" s="1" t="s">
        <v>47</v>
      </c>
      <c r="B1" s="1" t="s">
        <v>48</v>
      </c>
      <c r="J1" t="s">
        <v>47</v>
      </c>
      <c r="K1" t="s">
        <v>83</v>
      </c>
      <c r="L1" t="s">
        <v>55</v>
      </c>
      <c r="M1" t="s">
        <v>56</v>
      </c>
    </row>
    <row r="2" spans="1:13" x14ac:dyDescent="0.3">
      <c r="A2" t="s">
        <v>11</v>
      </c>
      <c r="B2" s="20">
        <v>1491250</v>
      </c>
      <c r="C2" s="20">
        <v>1491250</v>
      </c>
      <c r="J2" t="s">
        <v>26</v>
      </c>
      <c r="K2" s="20">
        <v>5119389</v>
      </c>
      <c r="L2" s="20">
        <v>4890392</v>
      </c>
      <c r="M2" s="20">
        <v>10009781</v>
      </c>
    </row>
    <row r="3" spans="1:13" x14ac:dyDescent="0.3">
      <c r="A3" t="s">
        <v>12</v>
      </c>
      <c r="B3" s="2">
        <v>3596292</v>
      </c>
      <c r="C3">
        <f t="shared" ref="C3:C24" si="0">VLOOKUP(A3,$J$2:$M$20,4,FALSE)</f>
        <v>3596674</v>
      </c>
      <c r="E3" s="3" t="s">
        <v>49</v>
      </c>
      <c r="J3" t="s">
        <v>32</v>
      </c>
      <c r="K3" s="20">
        <v>4173778</v>
      </c>
      <c r="L3" s="20">
        <v>3988183</v>
      </c>
      <c r="M3" s="20">
        <v>8161961</v>
      </c>
    </row>
    <row r="4" spans="1:13" x14ac:dyDescent="0.3">
      <c r="A4" t="s">
        <v>27</v>
      </c>
      <c r="B4" s="2">
        <v>2882031</v>
      </c>
      <c r="C4" s="2">
        <v>2882031</v>
      </c>
      <c r="E4" s="3" t="s">
        <v>50</v>
      </c>
      <c r="J4" t="s">
        <v>51</v>
      </c>
      <c r="K4" s="20">
        <v>3966889</v>
      </c>
      <c r="L4" s="20">
        <v>3750674</v>
      </c>
      <c r="M4" s="20">
        <v>7717563</v>
      </c>
    </row>
    <row r="5" spans="1:13" x14ac:dyDescent="0.3">
      <c r="A5" t="s">
        <v>29</v>
      </c>
      <c r="B5" s="2">
        <v>4835532</v>
      </c>
      <c r="C5" s="2">
        <v>4835532</v>
      </c>
      <c r="E5" s="3" t="s">
        <v>54</v>
      </c>
      <c r="J5" t="s">
        <v>24</v>
      </c>
      <c r="K5" s="20">
        <v>3627564</v>
      </c>
      <c r="L5" s="20">
        <v>3476243</v>
      </c>
      <c r="M5" s="20">
        <v>7103807</v>
      </c>
    </row>
    <row r="6" spans="1:13" x14ac:dyDescent="0.3">
      <c r="A6" t="s">
        <v>13</v>
      </c>
      <c r="B6" s="2">
        <v>3502387</v>
      </c>
      <c r="C6">
        <f t="shared" si="0"/>
        <v>3502404</v>
      </c>
      <c r="E6" s="3" t="s">
        <v>82</v>
      </c>
      <c r="J6" t="s">
        <v>28</v>
      </c>
      <c r="K6" s="20">
        <v>3007885</v>
      </c>
      <c r="L6" s="20">
        <v>2905572</v>
      </c>
      <c r="M6" s="20">
        <v>5913457</v>
      </c>
    </row>
    <row r="7" spans="1:13" x14ac:dyDescent="0.3">
      <c r="A7" t="s">
        <v>14</v>
      </c>
      <c r="B7" s="2">
        <v>2822780</v>
      </c>
      <c r="C7">
        <f t="shared" si="0"/>
        <v>2819086</v>
      </c>
      <c r="J7" t="s">
        <v>17</v>
      </c>
      <c r="K7" s="20">
        <v>2814653</v>
      </c>
      <c r="L7" s="20">
        <v>2704492</v>
      </c>
      <c r="M7" s="20">
        <v>5519145</v>
      </c>
    </row>
    <row r="8" spans="1:13" x14ac:dyDescent="0.3">
      <c r="A8" t="s">
        <v>15</v>
      </c>
      <c r="B8" s="2">
        <v>1670931</v>
      </c>
      <c r="C8">
        <f t="shared" si="0"/>
        <v>1676276</v>
      </c>
      <c r="J8" t="s">
        <v>25</v>
      </c>
      <c r="K8" s="20">
        <v>2653768</v>
      </c>
      <c r="L8" s="20">
        <v>2513832</v>
      </c>
      <c r="M8" s="20">
        <v>5167600</v>
      </c>
    </row>
    <row r="9" spans="1:13" x14ac:dyDescent="0.3">
      <c r="A9" t="s">
        <v>16</v>
      </c>
      <c r="B9" s="2">
        <v>1842034</v>
      </c>
      <c r="C9">
        <f t="shared" si="0"/>
        <v>1846823</v>
      </c>
      <c r="J9" t="s">
        <v>30</v>
      </c>
      <c r="K9" s="20">
        <v>2629834</v>
      </c>
      <c r="L9" s="20">
        <v>2466041</v>
      </c>
      <c r="M9" s="20">
        <v>5095875</v>
      </c>
    </row>
    <row r="10" spans="1:13" x14ac:dyDescent="0.3">
      <c r="A10" t="s">
        <v>17</v>
      </c>
      <c r="B10" s="2">
        <v>5520389</v>
      </c>
      <c r="C10">
        <f t="shared" si="0"/>
        <v>5519145</v>
      </c>
      <c r="J10" t="s">
        <v>18</v>
      </c>
      <c r="K10" s="20">
        <v>2500819</v>
      </c>
      <c r="L10" s="20">
        <v>2349210</v>
      </c>
      <c r="M10" s="20">
        <v>4850029</v>
      </c>
    </row>
    <row r="11" spans="1:13" x14ac:dyDescent="0.3">
      <c r="A11" t="s">
        <v>18</v>
      </c>
      <c r="B11" s="2">
        <v>4841638</v>
      </c>
      <c r="C11">
        <f t="shared" si="0"/>
        <v>4850029</v>
      </c>
      <c r="J11" t="s">
        <v>22</v>
      </c>
      <c r="K11" s="20">
        <v>2356766</v>
      </c>
      <c r="L11" s="20">
        <v>2139928</v>
      </c>
      <c r="M11" s="20">
        <v>4496694</v>
      </c>
    </row>
    <row r="12" spans="1:13" x14ac:dyDescent="0.3">
      <c r="A12" t="s">
        <v>19</v>
      </c>
      <c r="B12" s="2">
        <v>3869675</v>
      </c>
      <c r="C12">
        <f t="shared" si="0"/>
        <v>3872846</v>
      </c>
      <c r="J12" t="s">
        <v>23</v>
      </c>
      <c r="K12" s="20">
        <v>2051541</v>
      </c>
      <c r="L12" s="20">
        <v>1937304</v>
      </c>
      <c r="M12" s="20">
        <v>3988845</v>
      </c>
    </row>
    <row r="13" spans="1:13" x14ac:dyDescent="0.3">
      <c r="A13" t="s">
        <v>20</v>
      </c>
      <c r="B13" s="2">
        <v>1136548</v>
      </c>
      <c r="C13" s="2">
        <v>1136548</v>
      </c>
      <c r="J13" t="s">
        <v>19</v>
      </c>
      <c r="K13" s="20">
        <v>1983064</v>
      </c>
      <c r="L13" s="20">
        <v>1889782</v>
      </c>
      <c r="M13" s="20">
        <v>3872846</v>
      </c>
    </row>
    <row r="14" spans="1:13" x14ac:dyDescent="0.3">
      <c r="A14" t="s">
        <v>21</v>
      </c>
      <c r="B14" s="2">
        <v>251642</v>
      </c>
      <c r="C14" s="2">
        <v>251642</v>
      </c>
      <c r="J14" t="s">
        <v>12</v>
      </c>
      <c r="K14" s="20">
        <v>1838095</v>
      </c>
      <c r="L14" s="20">
        <v>1758579</v>
      </c>
      <c r="M14" s="20">
        <v>3596674</v>
      </c>
    </row>
    <row r="15" spans="1:13" x14ac:dyDescent="0.3">
      <c r="A15" t="s">
        <v>22</v>
      </c>
      <c r="B15" s="2">
        <v>4486679</v>
      </c>
      <c r="C15">
        <f t="shared" si="0"/>
        <v>4496694</v>
      </c>
      <c r="J15" t="s">
        <v>13</v>
      </c>
      <c r="K15" s="20">
        <v>1790920</v>
      </c>
      <c r="L15" s="20">
        <v>1711484</v>
      </c>
      <c r="M15" s="20">
        <v>3502404</v>
      </c>
    </row>
    <row r="16" spans="1:13" x14ac:dyDescent="0.3">
      <c r="A16" t="s">
        <v>23</v>
      </c>
      <c r="B16" s="2">
        <v>3997970</v>
      </c>
      <c r="C16">
        <f t="shared" si="0"/>
        <v>3988845</v>
      </c>
      <c r="J16" t="s">
        <v>33</v>
      </c>
      <c r="K16" s="20">
        <v>1551066</v>
      </c>
      <c r="L16" s="20">
        <v>1456068</v>
      </c>
      <c r="M16" s="20">
        <v>3007134</v>
      </c>
    </row>
    <row r="17" spans="1:13" x14ac:dyDescent="0.3">
      <c r="A17" t="s">
        <v>24</v>
      </c>
      <c r="B17" s="2">
        <v>7102430</v>
      </c>
      <c r="C17">
        <f t="shared" si="0"/>
        <v>7103807</v>
      </c>
      <c r="J17" t="s">
        <v>31</v>
      </c>
      <c r="K17" s="20">
        <v>1496996</v>
      </c>
      <c r="L17" s="20">
        <v>1433119</v>
      </c>
      <c r="M17" s="20">
        <v>2930115</v>
      </c>
    </row>
    <row r="18" spans="1:13" x14ac:dyDescent="0.3">
      <c r="A18" t="s">
        <v>25</v>
      </c>
      <c r="B18" s="2">
        <v>5168488</v>
      </c>
      <c r="C18">
        <f t="shared" si="0"/>
        <v>5167600</v>
      </c>
      <c r="J18" t="s">
        <v>14</v>
      </c>
      <c r="K18" s="20">
        <v>1451542</v>
      </c>
      <c r="L18" s="20">
        <v>1367544</v>
      </c>
      <c r="M18" s="20">
        <v>2819086</v>
      </c>
    </row>
    <row r="19" spans="1:13" x14ac:dyDescent="0.3">
      <c r="A19" t="s">
        <v>26</v>
      </c>
      <c r="B19" s="2">
        <v>10009781</v>
      </c>
      <c r="C19">
        <f t="shared" si="0"/>
        <v>10009781</v>
      </c>
      <c r="J19" t="s">
        <v>16</v>
      </c>
      <c r="K19" s="20">
        <v>937259</v>
      </c>
      <c r="L19" s="20">
        <v>909564</v>
      </c>
      <c r="M19" s="20">
        <v>1846823</v>
      </c>
    </row>
    <row r="20" spans="1:13" x14ac:dyDescent="0.3">
      <c r="A20" t="s">
        <v>28</v>
      </c>
      <c r="B20" s="2">
        <v>5095875</v>
      </c>
      <c r="C20">
        <f t="shared" si="0"/>
        <v>5913457</v>
      </c>
      <c r="J20" t="s">
        <v>15</v>
      </c>
      <c r="K20" s="20">
        <v>857199</v>
      </c>
      <c r="L20" s="20">
        <v>819077</v>
      </c>
      <c r="M20" s="20">
        <v>1676276</v>
      </c>
    </row>
    <row r="21" spans="1:13" x14ac:dyDescent="0.3">
      <c r="A21" t="s">
        <v>30</v>
      </c>
      <c r="B21" s="2">
        <v>4417377</v>
      </c>
      <c r="C21">
        <f t="shared" si="0"/>
        <v>5095875</v>
      </c>
    </row>
    <row r="22" spans="1:13" x14ac:dyDescent="0.3">
      <c r="A22" t="s">
        <v>31</v>
      </c>
      <c r="B22" s="2">
        <v>2927965</v>
      </c>
      <c r="C22">
        <f t="shared" si="0"/>
        <v>2930115</v>
      </c>
    </row>
    <row r="23" spans="1:13" x14ac:dyDescent="0.3">
      <c r="A23" t="s">
        <v>32</v>
      </c>
      <c r="B23" s="2">
        <v>8153176</v>
      </c>
      <c r="C23">
        <f t="shared" si="0"/>
        <v>8161961</v>
      </c>
    </row>
    <row r="24" spans="1:13" x14ac:dyDescent="0.3">
      <c r="A24" t="s">
        <v>33</v>
      </c>
      <c r="B24" s="2">
        <v>3000849</v>
      </c>
      <c r="C24">
        <f t="shared" si="0"/>
        <v>3007134</v>
      </c>
    </row>
  </sheetData>
  <hyperlinks>
    <hyperlink ref="E3" r:id="rId1" xr:uid="{00000000-0004-0000-0200-000000000000}"/>
    <hyperlink ref="E4" r:id="rId2" xr:uid="{00000000-0004-0000-0200-000001000000}"/>
    <hyperlink ref="E5" r:id="rId3" xr:uid="{00000000-0004-0000-0200-000002000000}"/>
    <hyperlink ref="E6" r:id="rId4" xr:uid="{00000000-0004-0000-0200-000003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zoomScale="85" zoomScaleNormal="85" workbookViewId="0">
      <selection activeCell="F14" sqref="F14"/>
    </sheetView>
  </sheetViews>
  <sheetFormatPr defaultRowHeight="14.4" x14ac:dyDescent="0.3"/>
  <cols>
    <col min="1" max="1" width="21.88671875" bestFit="1" customWidth="1"/>
    <col min="2" max="2" width="11.6640625" bestFit="1" customWidth="1"/>
  </cols>
  <sheetData>
    <row r="1" spans="1:6" ht="15" thickBot="1" x14ac:dyDescent="0.35">
      <c r="A1" t="s">
        <v>75</v>
      </c>
      <c r="B1" t="s">
        <v>76</v>
      </c>
    </row>
    <row r="2" spans="1:6" ht="15" thickBot="1" x14ac:dyDescent="0.35">
      <c r="A2" s="4" t="s">
        <v>57</v>
      </c>
      <c r="B2" s="5">
        <v>1579</v>
      </c>
    </row>
    <row r="3" spans="1:6" ht="15" thickBot="1" x14ac:dyDescent="0.35">
      <c r="A3" s="6" t="s">
        <v>84</v>
      </c>
      <c r="B3" s="7">
        <v>5874</v>
      </c>
      <c r="F3" s="3" t="s">
        <v>77</v>
      </c>
    </row>
    <row r="4" spans="1:6" ht="15" thickBot="1" x14ac:dyDescent="0.35">
      <c r="A4" s="8" t="s">
        <v>58</v>
      </c>
      <c r="B4" s="9">
        <v>3829</v>
      </c>
      <c r="F4" s="3" t="s">
        <v>78</v>
      </c>
    </row>
    <row r="5" spans="1:6" ht="15" thickBot="1" x14ac:dyDescent="0.35">
      <c r="A5" s="6" t="s">
        <v>59</v>
      </c>
      <c r="B5" s="7">
        <v>6500</v>
      </c>
      <c r="F5" s="3" t="s">
        <v>79</v>
      </c>
    </row>
    <row r="6" spans="1:6" ht="15" thickBot="1" x14ac:dyDescent="0.35">
      <c r="A6" s="8" t="s">
        <v>60</v>
      </c>
      <c r="B6" s="9">
        <v>2316</v>
      </c>
    </row>
    <row r="7" spans="1:6" ht="15" thickBot="1" x14ac:dyDescent="0.35">
      <c r="A7" s="6" t="s">
        <v>61</v>
      </c>
      <c r="B7" s="7">
        <v>2982</v>
      </c>
    </row>
    <row r="8" spans="1:6" ht="15" thickBot="1" x14ac:dyDescent="0.35">
      <c r="A8" s="8" t="s">
        <v>62</v>
      </c>
      <c r="B8" s="9">
        <v>1631</v>
      </c>
    </row>
    <row r="9" spans="1:6" ht="15" thickBot="1" x14ac:dyDescent="0.35">
      <c r="A9" t="s">
        <v>31</v>
      </c>
      <c r="B9" s="7">
        <v>4372</v>
      </c>
    </row>
    <row r="10" spans="1:6" ht="15" thickBot="1" x14ac:dyDescent="0.35">
      <c r="A10" t="s">
        <v>14</v>
      </c>
      <c r="B10" s="9">
        <v>3224</v>
      </c>
    </row>
    <row r="11" spans="1:6" ht="15" thickBot="1" x14ac:dyDescent="0.35">
      <c r="A11" t="s">
        <v>32</v>
      </c>
      <c r="B11" s="7">
        <v>6207</v>
      </c>
    </row>
    <row r="12" spans="1:6" ht="15" thickBot="1" x14ac:dyDescent="0.35">
      <c r="A12" s="8" t="s">
        <v>63</v>
      </c>
      <c r="B12" s="9">
        <v>801</v>
      </c>
    </row>
    <row r="13" spans="1:6" ht="15" thickBot="1" x14ac:dyDescent="0.35">
      <c r="A13" s="6" t="s">
        <v>64</v>
      </c>
      <c r="B13" s="7">
        <v>5875</v>
      </c>
    </row>
    <row r="14" spans="1:6" ht="15" thickBot="1" x14ac:dyDescent="0.35">
      <c r="A14" s="8" t="s">
        <v>65</v>
      </c>
      <c r="B14" s="9">
        <v>4110</v>
      </c>
    </row>
    <row r="15" spans="1:6" ht="15" thickBot="1" x14ac:dyDescent="0.35">
      <c r="A15" s="6" t="s">
        <v>66</v>
      </c>
      <c r="B15" s="7">
        <v>4707</v>
      </c>
    </row>
    <row r="16" spans="1:6" ht="15" thickBot="1" x14ac:dyDescent="0.35">
      <c r="A16" s="8" t="s">
        <v>67</v>
      </c>
      <c r="B16" s="9">
        <v>4952</v>
      </c>
    </row>
    <row r="17" spans="1:2" ht="15" thickBot="1" x14ac:dyDescent="0.35">
      <c r="A17" t="s">
        <v>16</v>
      </c>
      <c r="B17" s="7">
        <v>1071</v>
      </c>
    </row>
    <row r="18" spans="1:2" ht="15" thickBot="1" x14ac:dyDescent="0.35">
      <c r="A18" s="8" t="s">
        <v>68</v>
      </c>
      <c r="B18" s="9">
        <v>2183</v>
      </c>
    </row>
    <row r="19" spans="1:2" ht="15" thickBot="1" x14ac:dyDescent="0.35">
      <c r="A19" s="6" t="s">
        <v>69</v>
      </c>
      <c r="B19" s="7">
        <v>5910</v>
      </c>
    </row>
    <row r="20" spans="1:2" ht="15" thickBot="1" x14ac:dyDescent="0.35">
      <c r="A20" s="8" t="s">
        <v>70</v>
      </c>
      <c r="B20" s="9">
        <v>2249</v>
      </c>
    </row>
    <row r="21" spans="1:2" ht="15" thickBot="1" x14ac:dyDescent="0.35">
      <c r="A21" s="6" t="s">
        <v>71</v>
      </c>
      <c r="B21" s="7">
        <v>2089</v>
      </c>
    </row>
    <row r="22" spans="1:2" ht="15" thickBot="1" x14ac:dyDescent="0.35">
      <c r="A22" s="8" t="s">
        <v>72</v>
      </c>
      <c r="B22" s="9">
        <v>3035</v>
      </c>
    </row>
    <row r="23" spans="1:2" ht="15" thickBot="1" x14ac:dyDescent="0.35">
      <c r="A23" s="6" t="s">
        <v>85</v>
      </c>
      <c r="B23" s="7">
        <v>3290</v>
      </c>
    </row>
    <row r="24" spans="1:2" ht="15" thickBot="1" x14ac:dyDescent="0.35">
      <c r="A24" s="8" t="s">
        <v>73</v>
      </c>
      <c r="B24" s="9">
        <v>4175</v>
      </c>
    </row>
    <row r="25" spans="1:2" ht="15" thickBot="1" x14ac:dyDescent="0.35">
      <c r="A25" s="10" t="s">
        <v>74</v>
      </c>
      <c r="B25" s="11">
        <v>459</v>
      </c>
    </row>
  </sheetData>
  <hyperlinks>
    <hyperlink ref="A2" r:id="rId1" display="https://pmposhan.wb.gov.in/sc_report_blockwise?district_code=23bc86f189de7a1bc6d160b14d362f8f9b12d8b34d7b151fdd7b6df204b0f144438f74babc447c8e5dba4253396ea6228f1b534515cbc67d7b67edec1301ef52XiFk1c0xQ5YP4BWwkZZhsjck%2Bz6jX%2FjhYmBW9JEjEps%3D" xr:uid="{00000000-0004-0000-0300-000000000000}"/>
    <hyperlink ref="A3" r:id="rId2" display="https://pmposhan.wb.gov.in/sc_report_blockwise?district_code=8485a91cf5297f765778a93355c3894d457c79249aa2e3375b506b597a7eb4c83b6189f7ebf959ad1714a431dcb4e9205daf168642c695f486d1030a11ff3b7ddT0miOuBtkGQx6WWY9Tx8n1Qi0iD6KJAuGmzmJz0OCA%3D" xr:uid="{00000000-0004-0000-0300-000001000000}"/>
    <hyperlink ref="A4" r:id="rId3" display="https://pmposhan.wb.gov.in/sc_report_blockwise?district_code=c25074501460170dff13efc68700b36da42154c9cd82161adc1b1608764b30e077b16098c22326ec648f50dd95df831758b93d760f3afcbf4ff5005c2bbab249TEdf02DSMedYZhFdzLPDBMY6SSpnOu89yrMfxhWaFRs%3D" xr:uid="{00000000-0004-0000-0300-000002000000}"/>
    <hyperlink ref="A5" r:id="rId4" display="https://pmposhan.wb.gov.in/sc_report_blockwise?district_code=e4abd6747bf88cc66971a466312e11215f983901672a64d54622b485b1b130d9a10cbc357e44504a3bc92e1ae891e7e3a8cb54f6f4934e52e710e611aa702c42PjJOT2vFLq8ySFD4%2BsIi%2BkATGs8zU8iaLTCvcV3pLEo%3D" xr:uid="{00000000-0004-0000-0300-000003000000}"/>
    <hyperlink ref="A6" r:id="rId5" display="https://pmposhan.wb.gov.in/sc_report_blockwise?district_code=dfacc482325d187b31fa767f17acc6f0652c8094c4032423d0cae2a76705979cdf0a9691cb3fd24c303a403dfb5ecd2f985d3183ca0983ed631f725b04849742J3i2P1VRotgErw9iEJElhv17a2e81XbgZULyiLdjMQE%3D" xr:uid="{00000000-0004-0000-0300-000004000000}"/>
    <hyperlink ref="A7" r:id="rId6" display="https://pmposhan.wb.gov.in/sc_report_blockwise?district_code=1a6f64c573d098d9243b320c1522b573372bc05b38f3fd1bccb2af8839ea39211375994b806fe9baf878a3172804ed9ae7d6c3bfd296e8a6592746f9a8ffa812Gfvd2pJh0SdPx81ubbheum7e17513pabTV4jeZPNsjE%3D" xr:uid="{00000000-0004-0000-0300-000005000000}"/>
    <hyperlink ref="A8" r:id="rId7" display="https://pmposhan.wb.gov.in/sc_report_blockwise?district_code=4184396e97355a7b7fe0c1279a7a8faf3de7233b0bb1aaf00c4e4faf02635bd5218696bc1ef07e60e47c5ddc1749810afea0c755cc311d027e12f66aaa1b091esf21U2iECc8PnxouviES7eN4M6GKgCJUzx%2FhIiUpOB0%3D" xr:uid="{00000000-0004-0000-0300-000006000000}"/>
    <hyperlink ref="A9" r:id="rId8" display="https://pmposhan.wb.gov.in/sc_report_blockwise?district_code=7adf2f7441b8fb6c125c34bec771f933c4137f06b7a8aaa70432f67403dc0ba563c21333a874a2ff7feea55ac3f7443b90df00d8ead40991e23c8b026e3d3999MzfrP6Odn%2FIuSuZxsEht9fQzVQ2PHawx7U5km1Ok8BQ%3D" xr:uid="{00000000-0004-0000-0300-000007000000}"/>
    <hyperlink ref="A10" r:id="rId9" display="https://pmposhan.wb.gov.in/sc_report_blockwise?district_code=6644ecf60b20becb8582b22cd91b909dea634bed76d00177e4f7e4c92df51a52453b5311f0a0e46b2f7ccbe9ec8b3601c416a0b0210cfd2bc9144b89294e1a1fb5KSp5Y%2BaCOuc%2BEhGUVlHgs4ovdw26cuB1QO53N0StY%3D" xr:uid="{00000000-0004-0000-0300-000008000000}"/>
    <hyperlink ref="A11" r:id="rId10" display="https://pmposhan.wb.gov.in/sc_report_blockwise?district_code=facc57865643ebc23bf9773060382ff84b0ba8e4fd48820587ebe2a5d685672c499b055b69545dd3349fde09fb8e94a69cc5516988048799d75d0849c09cbecba%2FhRQbXNrlUxua8deg06%2FTBfiWvJWbewg%2FBcZzPI1is%3D" xr:uid="{00000000-0004-0000-0300-000009000000}"/>
    <hyperlink ref="A12" r:id="rId11" display="https://pmposhan.wb.gov.in/sc_report_blockwise?district_code=828dc8fa797472b3ece8c8509bb59366dde86646d5bcfcbfcd3b3c4884d6d14d799af91fb96fe51a8bfbfe61e9e34935c4d9c7b4e36f1eb3843d114fbda5e43eE7xjtlooDosHI%2Bcs5KFckX3NteuhyoG5dbULCCyxnuM%3D" xr:uid="{00000000-0004-0000-0300-00000A000000}"/>
    <hyperlink ref="A13" r:id="rId12" display="https://pmposhan.wb.gov.in/sc_report_blockwise?district_code=e31d778f77ebc556c47d43b88362bb739ae8a24d4fd34e8dce6fc96be7835f4f677d86957ce8a5aff837f5cf53070052f25308ac761a427085463c1b7eee3155dCNQNkzFEj%2FjmeMaPYSflAaF6olTsRVRNjCsRTjThgE%3D" xr:uid="{00000000-0004-0000-0300-00000B000000}"/>
    <hyperlink ref="A14" r:id="rId13" display="https://pmposhan.wb.gov.in/sc_report_blockwise?district_code=28b35f5636505ad308513364b5970382a75dfe16e3c92a77ec729b8459fd6a09748eb89ff9bd825462206bdbdd66403585336b96118a59b6ebb16dd9959ff897MqnMw5XrGpdEur37h8oJ04RTxgKig196GrF6FKJC9wg%3D" xr:uid="{00000000-0004-0000-0300-00000C000000}"/>
    <hyperlink ref="A15" r:id="rId14" display="https://pmposhan.wb.gov.in/sc_report_blockwise?district_code=fe1d608a14dd03fceb1ca3c2bf5f75d35264063ed1a0576ab45f947ff2d4279937d5e6a0ee0b586c92980ea135f2da31e79cb4936acd9ae3534ba6e0784a3a8aZe4smmfw5FVh5CR%2Fjf74CrS0vQ8jkN%2FzSY0TFH%2Bpe7E%3D" xr:uid="{00000000-0004-0000-0300-00000D000000}"/>
    <hyperlink ref="A16" r:id="rId15" display="https://pmposhan.wb.gov.in/sc_report_blockwise?district_code=cd21cd0233e017a04065094123360eec1815d3bc9ae725dbe6dfa1a972c2534805aeb569f1f086472e71bfc0a1347aff21cce1a8049da1e1691f33bfa32ab3f5WenAmYbY1FxVsUr%2BN%2FMtgC5%2BasRvP%2FOTeLrpbJ7hKqA%3D" xr:uid="{00000000-0004-0000-0300-00000E000000}"/>
    <hyperlink ref="A17" r:id="rId16" display="https://pmposhan.wb.gov.in/sc_report_blockwise?district_code=ccca8fdb3289b3f23d767ed96f446c350941777471ea0002cbefa622699414c0eaa7991647de035fd88fd96854dc33bdba6f5fb26b2723ad249577277c1fd15f1pbAvEwlShsRP8j7W6bwsQfAdlbPZGNdgDXHMn9k%2BTg%3D" xr:uid="{00000000-0004-0000-0300-00000F000000}"/>
    <hyperlink ref="A18" r:id="rId17" display="https://pmposhan.wb.gov.in/sc_report_blockwise?district_code=c28cd3ef066aeeb17e4297d4bd5b1d8459eb039142efed4873a848fdbd56b186f1fff38488aa9b806e004ea3865d154123182ec423a2b9a2274cc33343adae27C1sPjUq4%2BahD1CgS5dgPI14bwzYRLYkdZSGXSyqDBgc%3D" xr:uid="{00000000-0004-0000-0300-000010000000}"/>
    <hyperlink ref="A19" r:id="rId18" display="https://pmposhan.wb.gov.in/sc_report_blockwise?district_code=7e622cebdb1994aa510355462bd16f0f680a4de1969dc63cd9e46662354de5ba0d81da1d764194232de1c3d84dee6b2623ef24e9a93f4620c67d34bda360c396dvc1M6yWMA7YlO9ib8S9mzkNzDx6qaCaEl0rqePAyuM%3D" xr:uid="{00000000-0004-0000-0300-000011000000}"/>
    <hyperlink ref="A20" r:id="rId19" display="https://pmposhan.wb.gov.in/sc_report_blockwise?district_code=31a75a6e6f5a7e969bec2e09a2a0d1182b36dc47bb5ff58b690d1e5354d8e83d77994831aff2a82ee0354c33c6adc0aa029806923446ea2a888ff0187ba42123X8w2Ne6j3p4Exk%2BLpPVcAgOYBzLrKgV0RmusbJOBtw4%3D" xr:uid="{00000000-0004-0000-0300-000012000000}"/>
    <hyperlink ref="A21" r:id="rId20" display="https://pmposhan.wb.gov.in/sc_report_blockwise?district_code=84772eaefc435c23672687a68f3a0840bd6c187d8143b0949d10eb3fa9d6bed5f1a7993a5cf2ceb1652cc0fcf0734cb3059f779b67155dfdff57cc7cf4f53ad2LBxDYSsrXQUrd1SYsAkzqFVgb%2FtB%2Fhq07f66dDZFxcE%3D" xr:uid="{00000000-0004-0000-0300-000013000000}"/>
    <hyperlink ref="A22" r:id="rId21" display="https://pmposhan.wb.gov.in/sc_report_blockwise?district_code=4d46ff6f6bbbf0edade2720ac506a0f1e80d723d42f9e89eefa446da796f27798732516348669642c08cd35275a59b0c6059c4a9a7e136a074b5a55afad5b8986veC9jMQF9EYLCNdPRlx6FOz5E31VHF5GwLo0UD%2BwSk%3D" xr:uid="{00000000-0004-0000-0300-000014000000}"/>
    <hyperlink ref="A23" r:id="rId22" display="https://pmposhan.wb.gov.in/sc_report_blockwise?district_code=4d4df4e9e11e512ce03820d6287efe235c1808869b419d1f4122f25735f52b64654e5c3ca1a1b11d0039806f78e5408fa5a2b313bbc4bd4ceb19524298ac9ef7KWjgkIwJgIqDOlJFCB0f8PoA6x5JTW2FRn2ym%2BpwubI%3D" xr:uid="{00000000-0004-0000-0300-000015000000}"/>
    <hyperlink ref="A24" r:id="rId23" display="https://pmposhan.wb.gov.in/sc_report_blockwise?district_code=0765190ef7d3e1f2e5e6844760f6f2ccbbaf5bb4fb6c9bf4108cc09dda92a7e7173e37faba900f7a94b045a2c2ccf89ef676d3b4071bace07060460f28b6ca77NLPfYOjoiiiqgo7xn7ZQCiU3pbBxHTbRsnCeFAgRE%2F0%3D" xr:uid="{00000000-0004-0000-0300-000016000000}"/>
    <hyperlink ref="A25" r:id="rId24" display="https://pmposhan.wb.gov.in/sc_report_blockwise?district_code=ed402e733e02fc5c295037d8071d435d30e59c3fa24d899ba7b8afc39a78417cd6b60266fa3a7615e3b70f783b5d2725132e2c1d49bee788198f2904473b7f15QpaEXAbvy1RA5nMPl6SnVmSXTsetYVdBOoXmAoLKqRw%3D" xr:uid="{00000000-0004-0000-0300-000017000000}"/>
    <hyperlink ref="F3" r:id="rId25" xr:uid="{00000000-0004-0000-0300-000018000000}"/>
    <hyperlink ref="F4" r:id="rId26" xr:uid="{00000000-0004-0000-0300-000019000000}"/>
    <hyperlink ref="F5" r:id="rId27" xr:uid="{00000000-0004-0000-0300-00001A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I4"/>
  <sheetViews>
    <sheetView workbookViewId="0">
      <selection activeCell="I5" sqref="I5"/>
    </sheetView>
  </sheetViews>
  <sheetFormatPr defaultRowHeight="14.4" x14ac:dyDescent="0.3"/>
  <sheetData>
    <row r="4" spans="9:9" x14ac:dyDescent="0.3">
      <c r="I4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Villages</vt:lpstr>
      <vt:lpstr>Population</vt:lpstr>
      <vt:lpstr>Schools</vt:lpstr>
      <vt:lpstr>Hospital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Nilanjan Dey</dc:creator>
  <cp:lastModifiedBy>Nilanjan Dey</cp:lastModifiedBy>
  <dcterms:created xsi:type="dcterms:W3CDTF">2015-06-05T18:17:20Z</dcterms:created>
  <dcterms:modified xsi:type="dcterms:W3CDTF">2026-06-26T05:39:33Z</dcterms:modified>
</cp:coreProperties>
</file>